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dmin\Desktop\Fahad Tech solution\Project_39_23_Feb_2023\"/>
    </mc:Choice>
  </mc:AlternateContent>
  <bookViews>
    <workbookView xWindow="0" yWindow="0" windowWidth="20490" windowHeight="7755" activeTab="3"/>
  </bookViews>
  <sheets>
    <sheet name="Bay Sizes" sheetId="11" r:id="rId1"/>
    <sheet name="Channel &amp; Cover Cuts" sheetId="16" r:id="rId2"/>
    <sheet name="Slat Cuts" sheetId="3" r:id="rId3"/>
    <sheet name="Pricelist" sheetId="17" r:id="rId4"/>
    <sheet name="Sheet1" sheetId="19" r:id="rId5"/>
    <sheet name="Calculated Prices" sheetId="18" r:id="rId6"/>
  </sheets>
  <functionGroups builtInGroupCount="18"/>
  <definedNames>
    <definedName name="conBig">9.99999999999999E+307</definedName>
    <definedName name="conEF">"http://www.excelforum.com/forum/showthread.php?t="</definedName>
    <definedName name="conMrE">"http://www.mrexcel.com/forum/showthread.php?t="</definedName>
    <definedName name="conOrd">"thstndrdthththththththththththththththththstndrdthththththththstndrdthththththththstndrdthththththththstndrdthththththththstndrdthththththththstndrdthththththththstndrdthththththththstndrdthththththth"</definedName>
    <definedName name="conZzz">"žžžžžžžžžžžžžžžžžžžžžžžžžžžžžžžžžžžžžžžžžžžžžžžžžžžžžžžžžžžžžžžžžžžžžžžžžžžžžžžžžžžžžžžžžžžžžžžžžžžžžžžžžžžžžžžžžžžžžžžžžžžžžžžžžžžžžžžžžžžžžžžžžžžžžžžžžžžžžžžžžžžžžžžžžžžžžžžžžžžžžžžžžžžžžžžžžžžžžžžžžžžžžžžžžžžžžžžžžžžžžžžžžžžžžžžžžžžžžžžžžžžžžžžžžžžžžžž"</definedName>
    <definedName name="Detailforquote" localSheetId="1">#REF!</definedName>
    <definedName name="Detailforquote">#REF!</definedName>
    <definedName name="InvoiceNoDetails">"InvoiceDetails[Invoice No]"</definedName>
    <definedName name="Me" localSheetId="1">'Channel &amp; Cover Cuts'!A1</definedName>
    <definedName name="Me" localSheetId="2">'Slat Cuts'!A1</definedName>
    <definedName name="_xlnm.Print_Area" localSheetId="1">'Channel &amp; Cover Cuts'!$G$26:$I$65</definedName>
    <definedName name="_xlnm.Print_Area" localSheetId="3">Pricelist!$A$1:$R$59</definedName>
    <definedName name="_xlnm.Print_Area" localSheetId="2">'Slat Cuts'!$G$24:$AJ$34</definedName>
    <definedName name="_xlnm.Print_Titles" localSheetId="1">'Channel &amp; Cover Cuts'!$B:$F,'Channel &amp; Cover Cuts'!$24:$25</definedName>
    <definedName name="_xlnm.Print_Titles" localSheetId="2">'Slat Cuts'!$B:$F,'Slat Cuts'!$24:$25</definedName>
    <definedName name="ptrKerf" localSheetId="1">'Channel &amp; Cover Cuts'!$D$2</definedName>
    <definedName name="ptrKerf" localSheetId="2">'Slat Cuts'!$D$2</definedName>
    <definedName name="ptrStk" localSheetId="1">'Channel &amp; Cover Cuts'!$D$3</definedName>
    <definedName name="ptrStk" localSheetId="2">'Slat Cuts'!$D$3</definedName>
    <definedName name="ptrUsed" localSheetId="1">'Channel &amp; Cover Cuts'!$D$5</definedName>
    <definedName name="ptrUsed" localSheetId="2">'Slat Cuts'!$D$5</definedName>
    <definedName name="QuoteDetailOptions" localSheetId="1">#REF!</definedName>
    <definedName name="QuoteDetailOptions">#REF!</definedName>
    <definedName name="rgnInp" localSheetId="5">INDEX(#REF!, ROW(#REF!)+1):INDEX(#REF!, MATCH(conBig,#REF!))</definedName>
    <definedName name="rgnInp" localSheetId="1">INDEX('Channel &amp; Cover Cuts'!$D:$D, ROW('Channel &amp; Cover Cuts'!$D$25)+1):INDEX('Channel &amp; Cover Cuts'!$E:$E, MATCH(conBig, 'Channel &amp; Cover Cuts'!$D:$D))</definedName>
    <definedName name="rgnInp" localSheetId="2">INDEX('Slat Cuts'!$D:$D, ROW('Slat Cuts'!$D$25)+1):INDEX('Slat Cuts'!$E:$E, MATCH(conBig, 'Slat Cuts'!$D:$D))</definedName>
    <definedName name="rgnInp">INDEX(#REF!, ROW(#REF!)+1):INDEX(#REF!, MATCH(conBig,#REF!))</definedName>
    <definedName name="rgnLen" localSheetId="1">INDEX('Channel &amp; Cover Cuts'!rgnInp, 0, 1)</definedName>
    <definedName name="rgnLen" localSheetId="2">INDEX('Slat Cuts'!rgnInp, 0, 1)</definedName>
    <definedName name="rgnNeed" localSheetId="5">INDEX(#REF!, ROW(#REF!)+2):INDEX(#REF!, MATCH(conBig,#REF!))</definedName>
    <definedName name="rgnNeed" localSheetId="1">INDEX(#REF!, ROW(#REF!)+2):INDEX(#REF!, MATCH(conBig,#REF!))</definedName>
    <definedName name="rgnNeed" localSheetId="3">INDEX(#REF!, ROW(#REF!)+2):INDEX(#REF!, MATCH(conBig,#REF!))</definedName>
    <definedName name="rgnNeed">INDEX(#REF!, ROW(#REF!)+2):INDEX(#REF!, MATCH(conBig,#REF!))</definedName>
    <definedName name="rgnQty" localSheetId="1">INDEX('Channel &amp; Cover Cuts'!rgnInp, 0, 2)</definedName>
    <definedName name="rgnQty" localSheetId="2">INDEX('Slat Cuts'!rgnInp, 0, 2)</definedName>
    <definedName name="rngInvoice" localSheetId="1">#REF!</definedName>
    <definedName name="rngInvoice">#REF!</definedName>
    <definedName name="tubesize" localSheetId="1">#REF!,#REF!</definedName>
    <definedName name="tubesize">#REF!,#REF!</definedName>
    <definedName name="tubesteel" localSheetId="1">#REF!</definedName>
    <definedName name="tubesteel">#REF!</definedName>
    <definedName name="vbLf">CHAR(10)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12" i="17" l="1"/>
  <c r="B14" i="11"/>
  <c r="B7" i="11"/>
  <c r="G25" i="16"/>
  <c r="F26" i="16" l="1"/>
  <c r="F27" i="16"/>
  <c r="F28" i="16"/>
  <c r="F29" i="16"/>
  <c r="F30" i="16"/>
  <c r="F31" i="16"/>
  <c r="F32" i="16"/>
  <c r="F33" i="16"/>
  <c r="F34" i="16"/>
  <c r="F35" i="16"/>
  <c r="F36" i="16"/>
  <c r="F37" i="16"/>
  <c r="F38" i="16"/>
  <c r="F39" i="16"/>
  <c r="F40" i="16"/>
  <c r="F41" i="16"/>
  <c r="F42" i="16"/>
  <c r="F43" i="16"/>
  <c r="F44" i="16"/>
  <c r="F45" i="16"/>
  <c r="F46" i="16"/>
  <c r="F47" i="16"/>
  <c r="F48" i="16"/>
  <c r="F49" i="16"/>
  <c r="F50" i="16"/>
  <c r="F51" i="16"/>
  <c r="F52" i="16"/>
  <c r="F53" i="16"/>
  <c r="F54" i="16"/>
  <c r="F55" i="16"/>
  <c r="F56" i="16"/>
  <c r="F57" i="16"/>
  <c r="F58" i="16"/>
  <c r="F59" i="16"/>
  <c r="F60" i="16"/>
  <c r="F61" i="16"/>
  <c r="F62" i="16"/>
  <c r="F63" i="16"/>
  <c r="F64" i="16"/>
  <c r="F65" i="16"/>
  <c r="H25" i="16"/>
  <c r="I25" i="16"/>
  <c r="F26" i="3"/>
  <c r="F27" i="3"/>
  <c r="F28" i="3"/>
  <c r="F29" i="3"/>
  <c r="F30" i="3"/>
  <c r="F31" i="3"/>
  <c r="F32" i="3"/>
  <c r="F33" i="3"/>
  <c r="F34" i="3"/>
  <c r="F35" i="3"/>
  <c r="F36" i="3"/>
  <c r="F37" i="3"/>
  <c r="F38" i="3"/>
  <c r="F39" i="3"/>
  <c r="F40" i="3"/>
  <c r="F41" i="3"/>
  <c r="F42" i="3"/>
  <c r="F43" i="3"/>
  <c r="F44" i="3"/>
  <c r="F45" i="3"/>
  <c r="F46" i="3"/>
  <c r="F47" i="3"/>
  <c r="F48" i="3"/>
  <c r="F49" i="3"/>
  <c r="F50" i="3"/>
  <c r="F51" i="3"/>
  <c r="F52" i="3"/>
  <c r="F53" i="3"/>
  <c r="F54" i="3"/>
  <c r="F55" i="3"/>
  <c r="F56" i="3"/>
  <c r="F57" i="3"/>
  <c r="F58" i="3"/>
  <c r="F59" i="3"/>
  <c r="F60" i="3"/>
  <c r="F61" i="3"/>
  <c r="F62" i="3"/>
  <c r="F63" i="3"/>
  <c r="F64" i="3"/>
  <c r="F65" i="3"/>
  <c r="G25" i="3"/>
  <c r="H25" i="3"/>
  <c r="I25" i="3"/>
  <c r="J25" i="3"/>
  <c r="K25" i="3"/>
  <c r="L25" i="3"/>
  <c r="M25" i="3"/>
  <c r="N25" i="3"/>
  <c r="O25" i="3"/>
  <c r="P25" i="3"/>
  <c r="Q25" i="3"/>
  <c r="R25" i="3"/>
  <c r="S25" i="3"/>
  <c r="T25" i="3"/>
  <c r="U25" i="3"/>
  <c r="V25" i="3"/>
  <c r="W25" i="3"/>
  <c r="X25" i="3"/>
  <c r="Y25" i="3"/>
  <c r="Z25" i="3"/>
  <c r="AA25" i="3"/>
  <c r="AB25" i="3"/>
  <c r="AC25" i="3"/>
  <c r="AD25" i="3"/>
  <c r="AE25" i="3"/>
  <c r="AF25" i="3"/>
  <c r="AG25" i="3"/>
  <c r="AH25" i="3"/>
  <c r="AI25" i="3"/>
  <c r="AJ25" i="3"/>
  <c r="B6" i="11"/>
  <c r="D27" i="16"/>
  <c r="D28" i="16"/>
  <c r="C6" i="11"/>
  <c r="C7" i="11" s="1"/>
  <c r="C8" i="11" s="1"/>
  <c r="K7" i="11"/>
  <c r="L7" i="11"/>
  <c r="E65" i="3" l="1"/>
  <c r="B61" i="3"/>
  <c r="B62" i="3"/>
  <c r="B63" i="3"/>
  <c r="B64" i="3"/>
  <c r="B65" i="3"/>
  <c r="D60" i="3"/>
  <c r="D59" i="3"/>
  <c r="D58" i="3"/>
  <c r="D57" i="3"/>
  <c r="D56" i="3"/>
  <c r="D55" i="3"/>
  <c r="D54" i="3"/>
  <c r="D53" i="3"/>
  <c r="D52" i="3"/>
  <c r="D51" i="3"/>
  <c r="D50" i="3"/>
  <c r="D49" i="3"/>
  <c r="D48" i="3"/>
  <c r="D47" i="3"/>
  <c r="D65" i="3"/>
  <c r="D64" i="3"/>
  <c r="D63" i="3"/>
  <c r="D62" i="3"/>
  <c r="D61" i="3"/>
  <c r="D46" i="3"/>
  <c r="D65" i="16"/>
  <c r="D64" i="16"/>
  <c r="D63" i="16"/>
  <c r="D62" i="16"/>
  <c r="D61" i="16"/>
  <c r="D60" i="16"/>
  <c r="D59" i="16"/>
  <c r="D58" i="16"/>
  <c r="D57" i="16"/>
  <c r="D56" i="16"/>
  <c r="AI6" i="11"/>
  <c r="AI7" i="11" s="1"/>
  <c r="AJ6" i="11"/>
  <c r="AJ7" i="11" s="1"/>
  <c r="AJ8" i="11" s="1"/>
  <c r="AK6" i="11"/>
  <c r="AL6" i="11"/>
  <c r="AL7" i="11" s="1"/>
  <c r="AM6" i="11"/>
  <c r="AN6" i="11"/>
  <c r="AN7" i="11" s="1"/>
  <c r="AN8" i="11" s="1"/>
  <c r="AO6" i="11"/>
  <c r="AO7" i="11" s="1"/>
  <c r="AO8" i="11" s="1"/>
  <c r="AK7" i="11"/>
  <c r="AK8" i="11" s="1"/>
  <c r="AM7" i="11"/>
  <c r="AM8" i="11" s="1"/>
  <c r="D55" i="16"/>
  <c r="D54" i="16"/>
  <c r="D53" i="16"/>
  <c r="D52" i="16"/>
  <c r="D51" i="16"/>
  <c r="D50" i="16"/>
  <c r="D49" i="16"/>
  <c r="D48" i="16"/>
  <c r="D47" i="16"/>
  <c r="D46" i="16"/>
  <c r="V6" i="11"/>
  <c r="V7" i="11" s="1"/>
  <c r="V8" i="11" s="1"/>
  <c r="W6" i="11"/>
  <c r="W7" i="11" s="1"/>
  <c r="X6" i="11"/>
  <c r="X7" i="11" s="1"/>
  <c r="X8" i="11" s="1"/>
  <c r="Y6" i="11"/>
  <c r="Z6" i="11"/>
  <c r="AA6" i="11"/>
  <c r="AA7" i="11" s="1"/>
  <c r="AA8" i="11" s="1"/>
  <c r="AB6" i="11"/>
  <c r="AB7" i="11" s="1"/>
  <c r="AB8" i="11" s="1"/>
  <c r="AC6" i="11"/>
  <c r="AC7" i="11" s="1"/>
  <c r="AC8" i="11" s="1"/>
  <c r="AD6" i="11"/>
  <c r="AD7" i="11" s="1"/>
  <c r="AE6" i="11"/>
  <c r="AF6" i="11"/>
  <c r="AG6" i="11"/>
  <c r="AH6" i="11"/>
  <c r="Y7" i="11"/>
  <c r="E48" i="3" s="1"/>
  <c r="Z7" i="11"/>
  <c r="E49" i="3" s="1"/>
  <c r="AE7" i="11"/>
  <c r="AE8" i="11" s="1"/>
  <c r="AF7" i="11"/>
  <c r="AF8" i="11" s="1"/>
  <c r="AG7" i="11"/>
  <c r="E56" i="3" s="1"/>
  <c r="AH7" i="11"/>
  <c r="E57" i="3" s="1"/>
  <c r="Z8" i="11"/>
  <c r="B65" i="16"/>
  <c r="B59" i="16"/>
  <c r="B60" i="16"/>
  <c r="B61" i="16"/>
  <c r="B62" i="16"/>
  <c r="B63" i="16"/>
  <c r="B64" i="16"/>
  <c r="B55" i="16"/>
  <c r="B56" i="16"/>
  <c r="B57" i="16"/>
  <c r="B58" i="16"/>
  <c r="B46" i="16"/>
  <c r="B47" i="16"/>
  <c r="B48" i="16"/>
  <c r="B49" i="16"/>
  <c r="B50" i="16"/>
  <c r="B51" i="16"/>
  <c r="B52" i="16"/>
  <c r="B53" i="16"/>
  <c r="B54" i="16"/>
  <c r="B46" i="3"/>
  <c r="B47" i="3"/>
  <c r="B48" i="3"/>
  <c r="B49" i="3"/>
  <c r="B50" i="3"/>
  <c r="B51" i="3"/>
  <c r="B52" i="3"/>
  <c r="B53" i="3"/>
  <c r="B54" i="3"/>
  <c r="B55" i="3"/>
  <c r="B56" i="3"/>
  <c r="B57" i="3"/>
  <c r="B58" i="3"/>
  <c r="B59" i="3"/>
  <c r="B60" i="3"/>
  <c r="W8" i="11" l="1"/>
  <c r="E46" i="3"/>
  <c r="E54" i="3"/>
  <c r="E62" i="3"/>
  <c r="AL8" i="11"/>
  <c r="E61" i="3"/>
  <c r="AI8" i="11"/>
  <c r="E58" i="3"/>
  <c r="AD8" i="11"/>
  <c r="E53" i="3"/>
  <c r="E50" i="3"/>
  <c r="AH8" i="11"/>
  <c r="E51" i="3"/>
  <c r="E59" i="3"/>
  <c r="AG8" i="11"/>
  <c r="E52" i="3"/>
  <c r="E60" i="3"/>
  <c r="Y8" i="11"/>
  <c r="E47" i="3"/>
  <c r="E55" i="3"/>
  <c r="E63" i="3"/>
  <c r="E64" i="3"/>
  <c r="R41" i="17" l="1"/>
  <c r="R40" i="17"/>
  <c r="R29" i="17"/>
  <c r="R30" i="17"/>
  <c r="R28" i="17"/>
  <c r="R26" i="17"/>
  <c r="R22" i="17"/>
  <c r="R19" i="17"/>
  <c r="R47" i="17"/>
  <c r="R48" i="17"/>
  <c r="R49" i="17"/>
  <c r="R50" i="17"/>
  <c r="R51" i="17"/>
  <c r="R52" i="17"/>
  <c r="R46" i="17"/>
  <c r="I107" i="18" l="1"/>
  <c r="D49" i="17" s="1"/>
  <c r="I111" i="18"/>
  <c r="D53" i="17" s="1"/>
  <c r="I53" i="18"/>
  <c r="K34" i="17" s="1"/>
  <c r="I57" i="18"/>
  <c r="K42" i="17" s="1"/>
  <c r="I59" i="18"/>
  <c r="K44" i="17" s="1"/>
  <c r="I63" i="18"/>
  <c r="K50" i="17" s="1"/>
  <c r="I64" i="18"/>
  <c r="K51" i="17" s="1"/>
  <c r="I65" i="18"/>
  <c r="K52" i="17" s="1"/>
  <c r="I70" i="18"/>
  <c r="R12" i="17" s="1"/>
  <c r="I72" i="18"/>
  <c r="R14" i="17" s="1"/>
  <c r="I27" i="18"/>
  <c r="D34" i="17" s="1"/>
  <c r="I32" i="18"/>
  <c r="D41" i="17" s="1"/>
  <c r="I38" i="18"/>
  <c r="I40" i="18"/>
  <c r="K14" i="17" s="1"/>
  <c r="I51" i="18"/>
  <c r="K32" i="17" s="1"/>
  <c r="I10" i="18"/>
  <c r="D14" i="17" s="1"/>
  <c r="I12" i="18"/>
  <c r="D16" i="17" s="1"/>
  <c r="I14" i="18"/>
  <c r="D18" i="17" s="1"/>
  <c r="I18" i="18"/>
  <c r="D23" i="17" s="1"/>
  <c r="I20" i="18"/>
  <c r="D25" i="17" s="1"/>
  <c r="I25" i="18"/>
  <c r="D32" i="17" s="1"/>
  <c r="I8" i="18"/>
  <c r="D12" i="17" s="1"/>
  <c r="D110" i="18"/>
  <c r="I110" i="18" s="1"/>
  <c r="D109" i="18"/>
  <c r="I109" i="18" s="1"/>
  <c r="D106" i="18"/>
  <c r="I106" i="18" s="1"/>
  <c r="D48" i="17" s="1"/>
  <c r="D105" i="18"/>
  <c r="I105" i="18" s="1"/>
  <c r="D88" i="18"/>
  <c r="I88" i="18" s="1"/>
  <c r="D87" i="18"/>
  <c r="I87" i="18" s="1"/>
  <c r="R36" i="17" s="1"/>
  <c r="D86" i="18"/>
  <c r="I86" i="18" s="1"/>
  <c r="D71" i="18"/>
  <c r="I71" i="18" s="1"/>
  <c r="D64" i="18"/>
  <c r="D58" i="18"/>
  <c r="I58" i="18" s="1"/>
  <c r="K43" i="17" s="1"/>
  <c r="D52" i="18"/>
  <c r="I52" i="18" s="1"/>
  <c r="D46" i="18"/>
  <c r="I46" i="18" s="1"/>
  <c r="D45" i="18"/>
  <c r="I45" i="18" s="1"/>
  <c r="D39" i="18"/>
  <c r="I39" i="18" s="1"/>
  <c r="D33" i="18"/>
  <c r="I33" i="18" s="1"/>
  <c r="D31" i="18"/>
  <c r="I31" i="18" s="1"/>
  <c r="D40" i="17" s="1"/>
  <c r="D26" i="18"/>
  <c r="I26" i="18" s="1"/>
  <c r="D33" i="17" s="1"/>
  <c r="D19" i="18"/>
  <c r="I19" i="18" s="1"/>
  <c r="D24" i="17" s="1"/>
  <c r="D13" i="18"/>
  <c r="I13" i="18" s="1"/>
  <c r="D9" i="18"/>
  <c r="I9" i="18" s="1"/>
  <c r="R37" i="17" l="1"/>
  <c r="K13" i="17"/>
  <c r="K23" i="17"/>
  <c r="D51" i="17"/>
  <c r="K22" i="17"/>
  <c r="D47" i="17"/>
  <c r="D17" i="17"/>
  <c r="R13" i="17"/>
  <c r="D13" i="17"/>
  <c r="K33" i="17"/>
  <c r="D52" i="17"/>
  <c r="D42" i="17"/>
  <c r="R35" i="17"/>
  <c r="F6" i="11" l="1"/>
  <c r="F7" i="11" s="1"/>
  <c r="D45" i="16" l="1"/>
  <c r="D44" i="16"/>
  <c r="D43" i="16"/>
  <c r="D42" i="16"/>
  <c r="D41" i="16"/>
  <c r="D40" i="16"/>
  <c r="D39" i="16"/>
  <c r="D38" i="16"/>
  <c r="D37" i="16"/>
  <c r="B37" i="16"/>
  <c r="B38" i="16"/>
  <c r="B39" i="16"/>
  <c r="B40" i="16"/>
  <c r="B41" i="16"/>
  <c r="B42" i="16"/>
  <c r="B43" i="16"/>
  <c r="B44" i="16"/>
  <c r="B45" i="16"/>
  <c r="D45" i="3"/>
  <c r="D44" i="3"/>
  <c r="D43" i="3"/>
  <c r="D42" i="3"/>
  <c r="D41" i="3"/>
  <c r="D40" i="3"/>
  <c r="D39" i="3"/>
  <c r="D38" i="3"/>
  <c r="D37" i="3"/>
  <c r="B44" i="3"/>
  <c r="B45" i="3"/>
  <c r="B37" i="3"/>
  <c r="B38" i="3"/>
  <c r="B39" i="3"/>
  <c r="B40" i="3"/>
  <c r="B41" i="3"/>
  <c r="B42" i="3"/>
  <c r="B43" i="3"/>
  <c r="M6" i="11"/>
  <c r="M7" i="11" s="1"/>
  <c r="N6" i="11"/>
  <c r="N7" i="11" s="1"/>
  <c r="O6" i="11"/>
  <c r="O7" i="11" s="1"/>
  <c r="P6" i="11"/>
  <c r="P7" i="11" s="1"/>
  <c r="E40" i="3" s="1"/>
  <c r="Q6" i="11"/>
  <c r="Q7" i="11" s="1"/>
  <c r="R6" i="11"/>
  <c r="R7" i="11" s="1"/>
  <c r="R8" i="11" s="1"/>
  <c r="S6" i="11"/>
  <c r="S7" i="11" s="1"/>
  <c r="T6" i="11"/>
  <c r="T7" i="11" s="1"/>
  <c r="U6" i="11"/>
  <c r="U7" i="11" s="1"/>
  <c r="N8" i="11" l="1"/>
  <c r="E38" i="3"/>
  <c r="U8" i="11"/>
  <c r="E45" i="3"/>
  <c r="T8" i="11"/>
  <c r="E44" i="3"/>
  <c r="E41" i="3"/>
  <c r="Q8" i="11"/>
  <c r="E43" i="3"/>
  <c r="S8" i="11"/>
  <c r="M8" i="11"/>
  <c r="E37" i="3"/>
  <c r="O8" i="11"/>
  <c r="E39" i="3"/>
  <c r="P8" i="11"/>
  <c r="E42" i="3"/>
  <c r="D36" i="16"/>
  <c r="D35" i="16"/>
  <c r="D34" i="16"/>
  <c r="D36" i="3"/>
  <c r="D35" i="3"/>
  <c r="D34" i="3"/>
  <c r="J6" i="11"/>
  <c r="J7" i="11" s="1"/>
  <c r="K6" i="11"/>
  <c r="L6" i="11"/>
  <c r="L8" i="11" l="1"/>
  <c r="E36" i="3"/>
  <c r="K8" i="11"/>
  <c r="E35" i="3"/>
  <c r="E34" i="3"/>
  <c r="J8" i="11"/>
  <c r="B36" i="3"/>
  <c r="B34" i="3"/>
  <c r="B35" i="3"/>
  <c r="B34" i="16" l="1"/>
  <c r="B35" i="16"/>
  <c r="B36" i="16"/>
  <c r="D33" i="16"/>
  <c r="D32" i="16"/>
  <c r="D31" i="16"/>
  <c r="D30" i="16"/>
  <c r="D29" i="16"/>
  <c r="E24" i="16" l="1"/>
  <c r="D26" i="16" l="1"/>
  <c r="D5" i="16"/>
  <c r="B33" i="16"/>
  <c r="B32" i="16"/>
  <c r="B31" i="16"/>
  <c r="B30" i="16"/>
  <c r="B29" i="16"/>
  <c r="B28" i="16"/>
  <c r="B27" i="16"/>
  <c r="B26" i="16"/>
  <c r="D4" i="16" l="1"/>
  <c r="D6" i="16" s="1"/>
  <c r="D33" i="3"/>
  <c r="D32" i="3"/>
  <c r="D31" i="3"/>
  <c r="D30" i="3"/>
  <c r="D29" i="3"/>
  <c r="D28" i="3"/>
  <c r="D27" i="3"/>
  <c r="D26" i="3"/>
  <c r="I6" i="11"/>
  <c r="I7" i="11" s="1"/>
  <c r="H6" i="11"/>
  <c r="G6" i="11"/>
  <c r="F8" i="11"/>
  <c r="E6" i="11"/>
  <c r="D6" i="11"/>
  <c r="D7" i="11" s="1"/>
  <c r="D8" i="11" s="1"/>
  <c r="H7" i="11" l="1"/>
  <c r="H8" i="11" s="1"/>
  <c r="G7" i="11"/>
  <c r="G8" i="11" s="1"/>
  <c r="E7" i="11"/>
  <c r="E8" i="11" s="1"/>
  <c r="I8" i="11"/>
  <c r="E30" i="3"/>
  <c r="B27" i="3"/>
  <c r="B28" i="3"/>
  <c r="B29" i="3"/>
  <c r="B30" i="3"/>
  <c r="B31" i="3"/>
  <c r="B32" i="3"/>
  <c r="B33" i="3"/>
  <c r="B26" i="3"/>
  <c r="E32" i="3" l="1"/>
  <c r="E29" i="3"/>
  <c r="E31" i="3"/>
  <c r="E28" i="3"/>
  <c r="E33" i="3"/>
  <c r="E27" i="3" l="1"/>
  <c r="B8" i="11"/>
  <c r="E26" i="3" l="1"/>
  <c r="E24" i="3" l="1"/>
  <c r="D5" i="3" s="1"/>
  <c r="D4" i="3"/>
  <c r="D6" i="3" s="1"/>
</calcChain>
</file>

<file path=xl/comments1.xml><?xml version="1.0" encoding="utf-8"?>
<comments xmlns="http://schemas.openxmlformats.org/spreadsheetml/2006/main">
  <authors>
    <author>Author</author>
  </authors>
  <commentList>
    <comment ref="E25" authorId="0" shapeId="0">
      <text>
        <r>
          <rPr>
            <sz val="8"/>
            <color indexed="81"/>
            <rFont val="Tahoma"/>
            <family val="2"/>
          </rPr>
          <t>Positive whole numbers</t>
        </r>
      </text>
    </comment>
  </commentList>
</comments>
</file>

<file path=xl/comments2.xml><?xml version="1.0" encoding="utf-8"?>
<comments xmlns="http://schemas.openxmlformats.org/spreadsheetml/2006/main">
  <authors>
    <author>Author</author>
  </authors>
  <commentList>
    <comment ref="E25" authorId="0" shapeId="0">
      <text>
        <r>
          <rPr>
            <sz val="8"/>
            <color indexed="81"/>
            <rFont val="Tahoma"/>
            <family val="2"/>
          </rPr>
          <t>Positive whole numbers</t>
        </r>
      </text>
    </comment>
  </commentList>
</comments>
</file>

<file path=xl/sharedStrings.xml><?xml version="1.0" encoding="utf-8"?>
<sst xmlns="http://schemas.openxmlformats.org/spreadsheetml/2006/main" count="345" uniqueCount="171">
  <si>
    <t>Length</t>
  </si>
  <si>
    <t>Kerf</t>
  </si>
  <si>
    <t>Qty</t>
  </si>
  <si>
    <t>Total Qty</t>
  </si>
  <si>
    <t>Item</t>
  </si>
  <si>
    <t>Efficiency</t>
  </si>
  <si>
    <t>Stock Req'd</t>
  </si>
  <si>
    <t>Stock Used</t>
  </si>
  <si>
    <t>Cut\Scrap</t>
  </si>
  <si>
    <t>Stock #</t>
  </si>
  <si>
    <t>P/N or Desc</t>
  </si>
  <si>
    <t>Stock Length</t>
  </si>
  <si>
    <t>Bay 1 Size (mm)</t>
  </si>
  <si>
    <t>Bay 2 Size(mm)</t>
  </si>
  <si>
    <t>Bay 3 Size(mm)</t>
  </si>
  <si>
    <t>Bay 4 Size(mm)</t>
  </si>
  <si>
    <t>Bay 5 Size(mm)</t>
  </si>
  <si>
    <t>Bay 6 Size(mm)</t>
  </si>
  <si>
    <t>Bay 7 Size(mm)</t>
  </si>
  <si>
    <t>Bay 8 Size(mm)</t>
  </si>
  <si>
    <t xml:space="preserve">height </t>
  </si>
  <si>
    <t>width</t>
  </si>
  <si>
    <t>Slat gap (mm)</t>
  </si>
  <si>
    <t>slat size (mm)</t>
  </si>
  <si>
    <t>number of 
Slats high</t>
  </si>
  <si>
    <t>actual gap (mm)</t>
  </si>
  <si>
    <t>wood Grain</t>
  </si>
  <si>
    <t xml:space="preserve">total number of slats </t>
  </si>
  <si>
    <t>Bay 9 Size(mm)</t>
  </si>
  <si>
    <t>Bay 10 Size(mm)</t>
  </si>
  <si>
    <t>Bay 11 Size(mm)</t>
  </si>
  <si>
    <t>Bay 12 Size(mm)</t>
  </si>
  <si>
    <t>Bay 13 Size(mm)</t>
  </si>
  <si>
    <t>Bay 14 Size(mm)</t>
  </si>
  <si>
    <t>Bay 15 Size(mm)</t>
  </si>
  <si>
    <t>Bay 16 Size(mm)</t>
  </si>
  <si>
    <t>Bay 17 Size(mm)</t>
  </si>
  <si>
    <t>Bay 18 Size(mm)</t>
  </si>
  <si>
    <t>Bay 19 Size(mm)</t>
  </si>
  <si>
    <t>Bay 20 Size(mm)</t>
  </si>
  <si>
    <t>ALUMINIUM PRICELIST</t>
  </si>
  <si>
    <t>DELIVERY:</t>
  </si>
  <si>
    <t>North Of The River
South Of The River</t>
  </si>
  <si>
    <t>Aluminium Slats</t>
  </si>
  <si>
    <t>50 x 50 Post</t>
  </si>
  <si>
    <t>135 Degree Channel</t>
  </si>
  <si>
    <t>38 x 16 x 1.2mm x 6.5m (L)</t>
  </si>
  <si>
    <t>Powdercoated</t>
  </si>
  <si>
    <t>50 x 2mm x6.5m (L)</t>
  </si>
  <si>
    <t>135 Degree Concealed Channel 6.5m (L) Powdercoated</t>
  </si>
  <si>
    <t xml:space="preserve">Custom Colour </t>
  </si>
  <si>
    <t xml:space="preserve">135 Degree Concealed Channel 6.5m (L) Custom Colour </t>
  </si>
  <si>
    <t>Timber Grain</t>
  </si>
  <si>
    <t>135 Degree Concealed Channel 6.5m (L) Timber Grain</t>
  </si>
  <si>
    <t>65 x 16 x 1.2mm x 6.5m (L)</t>
  </si>
  <si>
    <t>50 x 50 Radius Post</t>
  </si>
  <si>
    <t>Plastic End Caps</t>
  </si>
  <si>
    <t>50 x 50 End Cap Flat</t>
  </si>
  <si>
    <t>50 x 50 End Cap Raised</t>
  </si>
  <si>
    <t>100 x 16 x 1.4mm x 6.5m (L)</t>
  </si>
  <si>
    <t>Channel &amp; Cover End Cap</t>
  </si>
  <si>
    <t>Maxi Slats</t>
  </si>
  <si>
    <t>Fix Gate Post</t>
  </si>
  <si>
    <t>38 x 16mm End Cap</t>
  </si>
  <si>
    <t>65 x 16mm End Cap</t>
  </si>
  <si>
    <t>100 x 16mm End Cap</t>
  </si>
  <si>
    <t>84.52 x 1.4mm x 6.5m (L)</t>
  </si>
  <si>
    <t>Aluminium Components</t>
  </si>
  <si>
    <t>38 x 16mm End Cap Powdercoated</t>
  </si>
  <si>
    <t>Eliptical Louvre Blade Slats</t>
  </si>
  <si>
    <t>65 x 16mm End Cap Powdercoated</t>
  </si>
  <si>
    <t>Concealed Fix Channel</t>
  </si>
  <si>
    <t>100 x 16mm End Cap Powdercoated</t>
  </si>
  <si>
    <t>70mm x 6.5m (L)</t>
  </si>
  <si>
    <t>Cast Angle Bracket for 70mm Louvre (Pair)</t>
  </si>
  <si>
    <t>Cast Angle Bracket for 65mm Slats (Pair)</t>
  </si>
  <si>
    <t>150mm x 6.5m (L)</t>
  </si>
  <si>
    <t>6.5m (L)</t>
  </si>
  <si>
    <t>Aluminium Gates &amp; Accessories</t>
  </si>
  <si>
    <t>Eliptical Louvre Components</t>
  </si>
  <si>
    <t>Gate up to 1800 x 1400mm Powdercoated (65mm Slats)</t>
  </si>
  <si>
    <t>Louvre Control Arm 3.908m (L)</t>
  </si>
  <si>
    <t>Concealed Fixing Cover</t>
  </si>
  <si>
    <t>Gate up to 1800 x 1400mm Powdercoated (100mm Slats)</t>
  </si>
  <si>
    <t>Gate up to 1800 x 1400mm Powdercoated (65mm - Timber Grain Slats)</t>
  </si>
  <si>
    <t>Gate up to 1800 x 1400mm Powdercoated (100mm - Timber Grain Slats)</t>
  </si>
  <si>
    <t>Lock, Latch &amp; Hinge Set</t>
  </si>
  <si>
    <t>Louvre Punched Insert 3.908m (L)</t>
  </si>
  <si>
    <t>Hinges</t>
  </si>
  <si>
    <t>Drop Bolt (Black)</t>
  </si>
  <si>
    <r>
      <rPr>
        <b/>
        <sz val="11"/>
        <color theme="1"/>
        <rFont val="Calibri"/>
        <family val="2"/>
        <scheme val="minor"/>
      </rPr>
      <t>Standard Powder Colours:</t>
    </r>
    <r>
      <rPr>
        <sz val="9"/>
        <rFont val="Calibri"/>
        <family val="2"/>
      </rPr>
      <t xml:space="preserve">  Surfmist, Classic Cream, Monument, Woodland Grey, Anodic Nat Matt, Night Sky (Only 65mm) &amp; Pearl White (Only 65mm)</t>
    </r>
  </si>
  <si>
    <r>
      <rPr>
        <b/>
        <sz val="11"/>
        <color theme="1"/>
        <rFont val="Calibri"/>
        <family val="2"/>
        <scheme val="minor"/>
      </rPr>
      <t>Timber Colours:</t>
    </r>
    <r>
      <rPr>
        <sz val="9"/>
        <rFont val="Calibri"/>
        <family val="2"/>
      </rPr>
      <t xml:space="preserve">   Jarrah, Western Red Cedar, Bush Cherry &amp; Snow Gum</t>
    </r>
  </si>
  <si>
    <t>**All prices include GST**</t>
  </si>
  <si>
    <t>PRICES CHARGED BY SUPPLIERS</t>
  </si>
  <si>
    <t>Description</t>
  </si>
  <si>
    <t>Total Cost to Wanneroo Patios</t>
  </si>
  <si>
    <t>Powdercoating</t>
  </si>
  <si>
    <t>Mill Finish</t>
  </si>
  <si>
    <t>135 Degree Concealed Channel 6.5m (L)</t>
  </si>
  <si>
    <t>Gate up to 1800 x 1400mm Powdercoated 65mm</t>
  </si>
  <si>
    <t>Gate up to 1800 x 1400mm Powdercoated 100mm</t>
  </si>
  <si>
    <t>Gate up to 1800 x 1400mm Powdercoated 65mm (Timber Grain Slats)</t>
  </si>
  <si>
    <t>Gate up to 1800 x 1400mm Powdercoated 100mm (Timber Grain Slats)</t>
  </si>
  <si>
    <t>Gate Lock, Latch &amp; Hinge Set</t>
  </si>
  <si>
    <t>Louvre Control Arm</t>
  </si>
  <si>
    <t>Cost to Customer</t>
  </si>
  <si>
    <t>Bay 21 Size(mm)</t>
  </si>
  <si>
    <t>Bay 22 Size(mm)</t>
  </si>
  <si>
    <t>Bay 23 Size(mm)</t>
  </si>
  <si>
    <t>Bay 24 Size(mm)</t>
  </si>
  <si>
    <t>Bay 25 Size(mm)</t>
  </si>
  <si>
    <t>Bay 26 Size(mm)</t>
  </si>
  <si>
    <t>Bay 27 Size(mm)</t>
  </si>
  <si>
    <t>Bay 28 Size(mm)</t>
  </si>
  <si>
    <t>Bay 29 Size(mm)</t>
  </si>
  <si>
    <t>Bay 30 Size(mm)</t>
  </si>
  <si>
    <t>Bay 31 Size(mm)</t>
  </si>
  <si>
    <t>Bay 32 Size(mm)</t>
  </si>
  <si>
    <t>Bay 33 Size(mm)</t>
  </si>
  <si>
    <t>Bay 34 Size(mm)</t>
  </si>
  <si>
    <t>Bay 35 Size(mm)</t>
  </si>
  <si>
    <t>Bay 36 Size(mm)</t>
  </si>
  <si>
    <t>Bay 37 Size(mm)</t>
  </si>
  <si>
    <t>Bay 38 Size(mm)</t>
  </si>
  <si>
    <t>Bay 39 Size(mm)</t>
  </si>
  <si>
    <t>Bay 40 Size(mm)</t>
  </si>
  <si>
    <t>Aluminium Gates (Supply &amp; Install)</t>
  </si>
  <si>
    <t>Single Powdercoated Gates (65 or 100mm Slats)</t>
  </si>
  <si>
    <t>Double Powdercoated Gates (65mm or 100mm Slats)</t>
  </si>
  <si>
    <t>Single Aluminium Gate (up to Opening of 1100W x 1500H) Powdercoated</t>
  </si>
  <si>
    <t xml:space="preserve">Single Aluminium Gate (up to Opening of 1100W x 1500H) Powdercoated </t>
  </si>
  <si>
    <t>Single Aluminium Gate (up to Opening of 1500W x 1800H) Powdercoated</t>
  </si>
  <si>
    <t>Single Aluminium Gate (up to Opening of 1300W x 2400H) Powdercoated</t>
  </si>
  <si>
    <t xml:space="preserve">Single Aluminium Gate (up to Opening of 1700W x 1800H) Powdercoated </t>
  </si>
  <si>
    <t xml:space="preserve">Single Aluminium Gate (up to Opening of 1900W x 2400H) Powdercoated </t>
  </si>
  <si>
    <t>Double Aluminium Gates (up to Opening of 2100W x 1500H) Powdercoated</t>
  </si>
  <si>
    <t>Double Aluminium Gates (up to Opening of 2900W x 1800H) Powdercoated</t>
  </si>
  <si>
    <t>Double Aluminium Gates (up to Opening of 2700W x 2400H) Powdercoated</t>
  </si>
  <si>
    <t>Double Aluminium Gates (up to Opening of 3500W x 1800H) Powdercoated</t>
  </si>
  <si>
    <t>Double Aluminium Gates (up to Opening of 3900W x 2400H) Powdercoated</t>
  </si>
  <si>
    <t>Single Timberlook  Gates</t>
  </si>
  <si>
    <t>Double Timberlook Gates (65mm or 100mm Slats)</t>
  </si>
  <si>
    <t>Single Aluminium Gate (up to Opening of 1100W x 1500H) Powdercoated Frame + Timberlook Slats</t>
  </si>
  <si>
    <t>Single Aluminium Gate (up to Opening of 1500W x 1800H)  Powdercoated Frame + Timberlook Slats</t>
  </si>
  <si>
    <t>Single Aluminium Gate (up to Opening of 1300W x 2400H)  Powdercoated Frame + Timberlook Slats</t>
  </si>
  <si>
    <t>Single Aluminium Gate (up to Opening of 1700W x 1800H) Powdercoated Frame + Timberlook Slats</t>
  </si>
  <si>
    <t xml:space="preserve">Single Aluminium Gate (up to Opening of 1900W x 2400H)  Powdercoated Frame + Timberlook Slats </t>
  </si>
  <si>
    <t>Double Aluminium Gates (up to Opening of 2100W x 1500H) Powdercoated Frame + Timberlook Slats</t>
  </si>
  <si>
    <t>Double Aluminium Gates (up to Opening of 2900W x 1800H) Powdercoated Frame + Timberlook Slats</t>
  </si>
  <si>
    <t>Double Aluminium Gates (up to Opening of 2700W x 2400H) Powdercoated Frame + Timberlook Slats</t>
  </si>
  <si>
    <t>Double Aluminium Gates (up to Opening of 3500W x 1800H) Powdercoated Frame + Timberlook Slats</t>
  </si>
  <si>
    <t>Double Aluminium Gates (up to Opening of 3900W x 2400H) Powdercoated Frame + Timberlook Slats</t>
  </si>
  <si>
    <t>Single Standard Lasercut Gates</t>
  </si>
  <si>
    <t>Double Standard Lasercut Gates</t>
  </si>
  <si>
    <t>Single Aluminium Gates with Standard Laser Cut Screen (up to Opening of 1100W x 1500H) Powdercoated</t>
  </si>
  <si>
    <t>Single Aluminium Gates with Standard Laser Cut Screen (up to Opening of 1500W x 1800H) Powdercoated</t>
  </si>
  <si>
    <t>Single Aluminium Gates with Standard Laser Cut Screen (up to Opening of 1300W x 2400H) Powdercoated</t>
  </si>
  <si>
    <t>Single Aluminium Gates with Standard Laser Cut Screen (up to Opening of 1700W x 1800H) Powdercoated</t>
  </si>
  <si>
    <t>Single Aluminium Gates with Standard Laser Cut Screen (up to Opening of 1900W x 2400H) Powdercoated</t>
  </si>
  <si>
    <t>Double Aluminium Gates with Standard Laser Cut Screen (up to Opening of 2100W x 1500H) Powdercoated</t>
  </si>
  <si>
    <t>Double Aluminium Gates with Standard Laser Cut Screen (up to Opening of 2900W x 1800H) Powdercoated</t>
  </si>
  <si>
    <t>Double Aluminium Gates with Standard Laser Cut Screen (up to Opening of 2700W x 1800H) Powdercoated</t>
  </si>
  <si>
    <t>Double Aluminium Gates with Standard Laser Cut Screen (up to Opening of 3500W x 1800H) Powdercoated</t>
  </si>
  <si>
    <t>Double Aluminium Gates with Standard Laser Cut Screen (up to Opening of 3900W x 2400H) Powdercoated</t>
  </si>
  <si>
    <t>Single Premium Lasercut Gates</t>
  </si>
  <si>
    <t>Double Premium Lasercut Gates</t>
  </si>
  <si>
    <t>Single Aluminium Gates with Premium Laser Cut Screen (up to Opening of 1100W x 1500H) Powdercoated</t>
  </si>
  <si>
    <t>Single Aluminium Gates with Premium Laser Cut Screen (up to Opening of 1500W x 1800H) Powdercoated</t>
  </si>
  <si>
    <t>Single Aluminium Gates with Premium Laser Cut Screen (up to Opening of 1300W x 2400H) Powdercoated</t>
  </si>
  <si>
    <t>Single Aluminium Gates with Premium Laser Cut Screen (up to Opening of 1700W x 1800H) Powdercoated</t>
  </si>
  <si>
    <t>Single Aluminium Gates with Premium Laser Cut Screen (up to Opening of 1900W x 2400H) Powdercoated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</si>
</sst>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1"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&quot;$&quot;#,##0.00;[Red]\-&quot;$&quot;#,##0.00"/>
    <numFmt numFmtId="165" formatCode="General_);\-General_);0"/>
    <numFmt numFmtId="166" formatCode="General_)"/>
    <numFmt numFmtId="167" formatCode="0.0%"/>
    <numFmt numFmtId="168" formatCode="General_);;"/>
    <numFmt numFmtId="169" formatCode="0.0"/>
    <numFmt numFmtId="170" formatCode="[$$-C09]#,##0.00"/>
  </numFmts>
  <fonts count="38" x14ac:knownFonts="1">
    <font>
      <sz val="9"/>
      <name val="Calibri"/>
      <family val="2"/>
    </font>
    <font>
      <sz val="11"/>
      <color theme="1"/>
      <name val="Calibri"/>
      <family val="2"/>
      <scheme val="minor"/>
    </font>
    <font>
      <sz val="8"/>
      <name val="Arial"/>
      <family val="2"/>
    </font>
    <font>
      <sz val="8"/>
      <name val="Tahoma"/>
      <family val="2"/>
    </font>
    <font>
      <sz val="9"/>
      <name val="Calibri"/>
      <family val="2"/>
    </font>
    <font>
      <sz val="8"/>
      <color indexed="81"/>
      <name val="Tahoma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color indexed="9"/>
      <name val="Calibri"/>
      <family val="2"/>
      <scheme val="minor"/>
    </font>
    <font>
      <sz val="9"/>
      <color theme="0" tint="-0.34998626667073579"/>
      <name val="Calibri"/>
      <family val="2"/>
    </font>
    <font>
      <b/>
      <i/>
      <sz val="9"/>
      <name val="Calibri"/>
      <family val="2"/>
    </font>
    <font>
      <sz val="16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2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36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8"/>
      <color rgb="FFFF000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24"/>
      <name val="Calibri"/>
      <family val="2"/>
      <scheme val="minor"/>
    </font>
  </fonts>
  <fills count="48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FC7CE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rgb="FFE5E5E5"/>
        <bgColor indexed="64"/>
      </patternFill>
    </fill>
    <fill>
      <patternFill patternType="solid">
        <fgColor rgb="FFFFFFFF"/>
        <bgColor indexed="64"/>
      </patternFill>
    </fill>
    <fill>
      <patternFill patternType="lightTrellis">
        <fgColor indexed="63"/>
        <bgColor rgb="FFFFFFFF"/>
      </patternFill>
    </fill>
    <fill>
      <patternFill patternType="solid">
        <fgColor rgb="FFF3F3F3"/>
        <bgColor indexed="64"/>
      </patternFill>
    </fill>
    <fill>
      <patternFill patternType="solid">
        <fgColor rgb="FF909090"/>
        <bgColor indexed="64"/>
      </patternFill>
    </fill>
    <fill>
      <patternFill patternType="solid">
        <fgColor rgb="FFFFFFFF"/>
        <bgColor auto="1"/>
      </patternFill>
    </fill>
    <fill>
      <patternFill patternType="lightHorizontal">
        <fgColor indexed="55"/>
        <bgColor auto="1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thin">
        <color indexed="23"/>
      </top>
      <bottom style="thin">
        <color indexed="23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</borders>
  <cellStyleXfs count="57">
    <xf numFmtId="0" fontId="0" fillId="38" borderId="0">
      <alignment vertical="top"/>
    </xf>
    <xf numFmtId="0" fontId="6" fillId="4" borderId="0" applyNumberFormat="0" applyBorder="0" applyAlignment="0" applyProtection="0"/>
    <xf numFmtId="0" fontId="6" fillId="5" borderId="0" applyNumberFormat="0" applyBorder="0" applyAlignment="0" applyProtection="0"/>
    <xf numFmtId="0" fontId="6" fillId="6" borderId="0" applyNumberFormat="0" applyBorder="0" applyAlignment="0" applyProtection="0"/>
    <xf numFmtId="0" fontId="6" fillId="7" borderId="0" applyNumberFormat="0" applyBorder="0" applyAlignment="0" applyProtection="0"/>
    <xf numFmtId="0" fontId="6" fillId="8" borderId="0" applyNumberFormat="0" applyBorder="0" applyAlignment="0" applyProtection="0"/>
    <xf numFmtId="0" fontId="6" fillId="9" borderId="0" applyNumberFormat="0" applyBorder="0" applyAlignment="0" applyProtection="0"/>
    <xf numFmtId="0" fontId="6" fillId="10" borderId="0" applyNumberFormat="0" applyBorder="0" applyAlignment="0" applyProtection="0"/>
    <xf numFmtId="0" fontId="6" fillId="11" borderId="0" applyNumberFormat="0" applyBorder="0" applyAlignment="0" applyProtection="0"/>
    <xf numFmtId="0" fontId="6" fillId="12" borderId="0" applyNumberFormat="0" applyBorder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5" borderId="0" applyNumberFormat="0" applyBorder="0" applyAlignment="0" applyProtection="0"/>
    <xf numFmtId="0" fontId="7" fillId="16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19" borderId="0" applyNumberFormat="0" applyBorder="0" applyAlignment="0" applyProtection="0"/>
    <xf numFmtId="0" fontId="7" fillId="20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3" borderId="0" applyNumberFormat="0" applyBorder="0" applyAlignment="0" applyProtection="0"/>
    <xf numFmtId="0" fontId="7" fillId="24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7" borderId="0" applyNumberFormat="0" applyBorder="0" applyAlignment="0" applyProtection="0"/>
    <xf numFmtId="0" fontId="8" fillId="28" borderId="0" applyNumberFormat="0" applyBorder="0" applyAlignment="0" applyProtection="0"/>
    <xf numFmtId="0" fontId="9" fillId="29" borderId="3" applyNumberFormat="0" applyAlignment="0" applyProtection="0"/>
    <xf numFmtId="0" fontId="10" fillId="30" borderId="4" applyNumberFormat="0" applyAlignment="0" applyProtection="0"/>
    <xf numFmtId="0" fontId="4" fillId="40" borderId="0" applyNumberFormat="0" applyBorder="0" applyAlignment="0">
      <alignment vertical="top"/>
      <protection locked="0"/>
    </xf>
    <xf numFmtId="43" fontId="4" fillId="35" borderId="0" applyFont="0" applyFill="0" applyBorder="0" applyAlignment="0" applyProtection="0"/>
    <xf numFmtId="44" fontId="4" fillId="35" borderId="0" applyFont="0" applyFill="0" applyBorder="0" applyAlignment="0" applyProtection="0"/>
    <xf numFmtId="0" fontId="11" fillId="0" borderId="0" applyNumberFormat="0" applyFill="0" applyBorder="0" applyAlignment="0" applyProtection="0"/>
    <xf numFmtId="0" fontId="4" fillId="34" borderId="12" applyNumberFormat="0" applyFont="0" applyBorder="0" applyAlignment="0">
      <alignment vertical="top"/>
    </xf>
    <xf numFmtId="0" fontId="12" fillId="31" borderId="0" applyNumberFormat="0" applyBorder="0" applyAlignment="0" applyProtection="0"/>
    <xf numFmtId="0" fontId="13" fillId="0" borderId="5" applyNumberFormat="0" applyFill="0" applyAlignment="0" applyProtection="0"/>
    <xf numFmtId="0" fontId="14" fillId="0" borderId="6" applyNumberFormat="0" applyFill="0" applyAlignment="0" applyProtection="0"/>
    <xf numFmtId="0" fontId="15" fillId="0" borderId="7" applyNumberFormat="0" applyFill="0" applyAlignment="0" applyProtection="0"/>
    <xf numFmtId="0" fontId="15" fillId="0" borderId="0" applyNumberFormat="0" applyFill="0" applyBorder="0" applyAlignment="0" applyProtection="0"/>
    <xf numFmtId="0" fontId="4" fillId="0" borderId="0" applyNumberFormat="0" applyFont="0" applyBorder="0" applyAlignment="0">
      <alignment vertical="top"/>
      <protection locked="0"/>
    </xf>
    <xf numFmtId="0" fontId="3" fillId="37" borderId="1">
      <alignment horizontal="center" vertical="center" wrapText="1"/>
    </xf>
    <xf numFmtId="0" fontId="3" fillId="37" borderId="1" applyNumberFormat="0">
      <alignment horizontal="centerContinuous" vertical="center" wrapText="1"/>
    </xf>
    <xf numFmtId="0" fontId="16" fillId="0" borderId="8" applyNumberFormat="0" applyFill="0" applyAlignment="0" applyProtection="0"/>
    <xf numFmtId="0" fontId="17" fillId="32" borderId="0" applyNumberFormat="0" applyBorder="0" applyAlignment="0" applyProtection="0"/>
    <xf numFmtId="0" fontId="4" fillId="33" borderId="9" applyNumberFormat="0" applyFont="0" applyAlignment="0" applyProtection="0"/>
    <xf numFmtId="0" fontId="18" fillId="29" borderId="10" applyNumberFormat="0" applyAlignment="0" applyProtection="0"/>
    <xf numFmtId="0" fontId="19" fillId="0" borderId="0" applyNumberFormat="0" applyFill="0" applyBorder="0" applyAlignment="0" applyProtection="0"/>
    <xf numFmtId="0" fontId="20" fillId="0" borderId="11" applyNumberFormat="0" applyFill="0" applyAlignment="0" applyProtection="0"/>
    <xf numFmtId="0" fontId="21" fillId="0" borderId="0" applyNumberFormat="0" applyFill="0" applyBorder="0" applyAlignment="0" applyProtection="0"/>
    <xf numFmtId="0" fontId="4" fillId="36" borderId="0" applyNumberFormat="0" applyFont="0" applyBorder="0" applyAlignment="0">
      <alignment vertical="top"/>
      <protection locked="0"/>
    </xf>
    <xf numFmtId="0" fontId="22" fillId="38" borderId="0" applyNumberFormat="0" applyBorder="0">
      <alignment vertical="center"/>
    </xf>
    <xf numFmtId="9" fontId="4" fillId="35" borderId="0" applyFont="0" applyFill="0" applyBorder="0" applyAlignment="0" applyProtection="0"/>
    <xf numFmtId="41" fontId="4" fillId="35" borderId="0" applyFont="0" applyFill="0" applyBorder="0" applyAlignment="0" applyProtection="0"/>
    <xf numFmtId="42" fontId="4" fillId="35" borderId="0" applyFont="0" applyFill="0" applyBorder="0" applyAlignment="0" applyProtection="0"/>
    <xf numFmtId="0" fontId="23" fillId="35" borderId="0" applyNumberFormat="0" applyFill="0" applyBorder="0" applyAlignment="0">
      <alignment vertical="top"/>
    </xf>
    <xf numFmtId="0" fontId="24" fillId="39" borderId="0" applyNumberFormat="0" applyBorder="0" applyAlignment="0">
      <alignment vertical="top"/>
      <protection locked="0"/>
    </xf>
    <xf numFmtId="0" fontId="27" fillId="0" borderId="0"/>
    <xf numFmtId="0" fontId="1" fillId="0" borderId="0"/>
  </cellStyleXfs>
  <cellXfs count="98">
    <xf numFmtId="0" fontId="0" fillId="38" borderId="0" xfId="0">
      <alignment vertical="top"/>
    </xf>
    <xf numFmtId="169" fontId="0" fillId="34" borderId="0" xfId="32" applyNumberFormat="1" applyFont="1" applyBorder="1">
      <alignment vertical="top"/>
    </xf>
    <xf numFmtId="0" fontId="0" fillId="0" borderId="0" xfId="38" applyFont="1">
      <alignment vertical="top"/>
      <protection locked="0"/>
    </xf>
    <xf numFmtId="168" fontId="0" fillId="0" borderId="0" xfId="38" applyNumberFormat="1" applyFont="1">
      <alignment vertical="top"/>
      <protection locked="0"/>
    </xf>
    <xf numFmtId="0" fontId="25" fillId="41" borderId="2" xfId="0" applyFont="1" applyFill="1" applyBorder="1" applyAlignment="1" applyProtection="1">
      <alignment horizontal="center" vertical="center"/>
      <protection locked="0"/>
    </xf>
    <xf numFmtId="0" fontId="25" fillId="42" borderId="26" xfId="0" applyFont="1" applyFill="1" applyBorder="1" applyAlignment="1" applyProtection="1">
      <alignment horizontal="center" vertical="center"/>
      <protection locked="0"/>
    </xf>
    <xf numFmtId="0" fontId="25" fillId="43" borderId="26" xfId="0" applyFont="1" applyFill="1" applyBorder="1" applyAlignment="1" applyProtection="1">
      <alignment horizontal="center" vertical="center"/>
      <protection locked="0"/>
    </xf>
    <xf numFmtId="0" fontId="25" fillId="44" borderId="26" xfId="0" applyFont="1" applyFill="1" applyBorder="1" applyAlignment="1" applyProtection="1">
      <alignment horizontal="center" vertical="center"/>
      <protection locked="0"/>
    </xf>
    <xf numFmtId="0" fontId="25" fillId="38" borderId="25" xfId="0" applyFont="1" applyBorder="1" applyProtection="1">
      <alignment vertical="top"/>
      <protection hidden="1"/>
    </xf>
    <xf numFmtId="0" fontId="25" fillId="38" borderId="26" xfId="0" applyFont="1" applyBorder="1" applyAlignment="1" applyProtection="1">
      <alignment horizontal="center" vertical="center"/>
      <protection hidden="1"/>
    </xf>
    <xf numFmtId="0" fontId="0" fillId="47" borderId="1" xfId="0" applyFill="1" applyBorder="1" applyProtection="1">
      <alignment vertical="top"/>
      <protection hidden="1"/>
    </xf>
    <xf numFmtId="0" fontId="25" fillId="38" borderId="25" xfId="0" applyFont="1" applyBorder="1" applyAlignment="1" applyProtection="1">
      <alignment vertical="top" wrapText="1"/>
      <protection hidden="1"/>
    </xf>
    <xf numFmtId="0" fontId="25" fillId="45" borderId="26" xfId="0" applyFont="1" applyFill="1" applyBorder="1" applyAlignment="1" applyProtection="1">
      <alignment horizontal="center" vertical="center"/>
      <protection hidden="1"/>
    </xf>
    <xf numFmtId="0" fontId="25" fillId="38" borderId="27" xfId="0" applyFont="1" applyBorder="1" applyProtection="1">
      <alignment vertical="top"/>
      <protection hidden="1"/>
    </xf>
    <xf numFmtId="0" fontId="25" fillId="46" borderId="16" xfId="0" applyFont="1" applyFill="1" applyBorder="1" applyAlignment="1" applyProtection="1">
      <alignment horizontal="center" vertical="center"/>
      <protection hidden="1"/>
    </xf>
    <xf numFmtId="0" fontId="0" fillId="47" borderId="1" xfId="0" applyFill="1" applyBorder="1" applyAlignment="1" applyProtection="1">
      <alignment vertical="top" wrapText="1"/>
      <protection hidden="1"/>
    </xf>
    <xf numFmtId="0" fontId="25" fillId="38" borderId="22" xfId="0" applyFont="1" applyBorder="1" applyProtection="1">
      <alignment vertical="top"/>
      <protection hidden="1"/>
    </xf>
    <xf numFmtId="0" fontId="25" fillId="38" borderId="0" xfId="0" applyFont="1" applyProtection="1">
      <alignment vertical="top"/>
      <protection hidden="1"/>
    </xf>
    <xf numFmtId="0" fontId="25" fillId="38" borderId="23" xfId="0" applyFont="1" applyBorder="1" applyProtection="1">
      <alignment vertical="top"/>
      <protection hidden="1"/>
    </xf>
    <xf numFmtId="0" fontId="25" fillId="38" borderId="24" xfId="0" applyFont="1" applyBorder="1" applyProtection="1">
      <alignment vertical="top"/>
      <protection hidden="1"/>
    </xf>
    <xf numFmtId="0" fontId="0" fillId="38" borderId="0" xfId="0" applyProtection="1">
      <alignment vertical="top"/>
      <protection locked="0"/>
    </xf>
    <xf numFmtId="0" fontId="0" fillId="38" borderId="0" xfId="0" applyProtection="1">
      <alignment vertical="top"/>
      <protection hidden="1"/>
    </xf>
    <xf numFmtId="0" fontId="3" fillId="37" borderId="14" xfId="39" applyBorder="1" applyAlignment="1" applyProtection="1">
      <alignment horizontal="right" vertical="center"/>
      <protection hidden="1"/>
    </xf>
    <xf numFmtId="166" fontId="4" fillId="0" borderId="15" xfId="38" applyNumberFormat="1" applyBorder="1" applyProtection="1">
      <alignment vertical="top"/>
      <protection hidden="1"/>
    </xf>
    <xf numFmtId="166" fontId="4" fillId="34" borderId="15" xfId="32" applyNumberFormat="1" applyBorder="1" applyProtection="1">
      <alignment vertical="top"/>
      <protection hidden="1"/>
    </xf>
    <xf numFmtId="167" fontId="3" fillId="2" borderId="14" xfId="50" applyNumberFormat="1" applyFont="1" applyFill="1" applyBorder="1" applyAlignment="1" applyProtection="1">
      <alignment horizontal="right" vertical="center"/>
      <protection hidden="1"/>
    </xf>
    <xf numFmtId="167" fontId="4" fillId="3" borderId="15" xfId="50" applyNumberFormat="1" applyFill="1" applyBorder="1" applyAlignment="1" applyProtection="1">
      <alignment vertical="top"/>
      <protection hidden="1"/>
    </xf>
    <xf numFmtId="0" fontId="3" fillId="37" borderId="14" xfId="39" applyBorder="1" applyProtection="1">
      <alignment horizontal="center" vertical="center" wrapText="1"/>
      <protection hidden="1"/>
    </xf>
    <xf numFmtId="167" fontId="3" fillId="2" borderId="13" xfId="50" applyNumberFormat="1" applyFont="1" applyFill="1" applyBorder="1" applyAlignment="1" applyProtection="1">
      <alignment horizontal="right" vertical="center" indent="1"/>
      <protection hidden="1"/>
    </xf>
    <xf numFmtId="165" fontId="4" fillId="34" borderId="15" xfId="32" applyNumberFormat="1" applyBorder="1" applyProtection="1">
      <alignment vertical="top"/>
      <protection hidden="1"/>
    </xf>
    <xf numFmtId="167" fontId="3" fillId="2" borderId="14" xfId="50" applyNumberFormat="1" applyFont="1" applyFill="1" applyBorder="1" applyAlignment="1" applyProtection="1">
      <alignment horizontal="right" vertical="center" indent="1"/>
      <protection hidden="1"/>
    </xf>
    <xf numFmtId="0" fontId="3" fillId="37" borderId="1" xfId="39" applyProtection="1">
      <alignment horizontal="center" vertical="center" wrapText="1"/>
      <protection hidden="1"/>
    </xf>
    <xf numFmtId="0" fontId="3" fillId="37" borderId="2" xfId="39" applyBorder="1" applyProtection="1">
      <alignment horizontal="center" vertical="center" wrapText="1"/>
      <protection hidden="1"/>
    </xf>
    <xf numFmtId="37" fontId="4" fillId="34" borderId="18" xfId="32" applyNumberFormat="1" applyBorder="1" applyProtection="1">
      <alignment vertical="top"/>
      <protection hidden="1"/>
    </xf>
    <xf numFmtId="37" fontId="4" fillId="0" borderId="19" xfId="38" applyNumberFormat="1" applyBorder="1" applyProtection="1">
      <alignment vertical="top"/>
      <protection hidden="1"/>
    </xf>
    <xf numFmtId="166" fontId="4" fillId="0" borderId="19" xfId="29" applyNumberFormat="1" applyFill="1" applyBorder="1" applyAlignment="1" applyProtection="1">
      <alignment vertical="top"/>
      <protection hidden="1"/>
    </xf>
    <xf numFmtId="37" fontId="4" fillId="34" borderId="20" xfId="32" applyNumberFormat="1" applyBorder="1" applyProtection="1">
      <alignment vertical="top"/>
      <protection hidden="1"/>
    </xf>
    <xf numFmtId="37" fontId="4" fillId="34" borderId="17" xfId="32" applyNumberFormat="1" applyBorder="1" applyProtection="1">
      <alignment vertical="top"/>
      <protection hidden="1"/>
    </xf>
    <xf numFmtId="37" fontId="4" fillId="0" borderId="0" xfId="38" applyNumberFormat="1" applyProtection="1">
      <alignment vertical="top"/>
      <protection hidden="1"/>
    </xf>
    <xf numFmtId="166" fontId="4" fillId="0" borderId="0" xfId="29" applyNumberFormat="1" applyFill="1" applyAlignment="1" applyProtection="1">
      <alignment vertical="top"/>
      <protection hidden="1"/>
    </xf>
    <xf numFmtId="37" fontId="4" fillId="34" borderId="21" xfId="32" applyNumberFormat="1" applyBorder="1" applyProtection="1">
      <alignment vertical="top"/>
      <protection hidden="1"/>
    </xf>
    <xf numFmtId="0" fontId="3" fillId="37" borderId="14" xfId="39" applyBorder="1" applyAlignment="1" applyProtection="1">
      <alignment horizontal="right" vertical="center"/>
      <protection locked="0"/>
    </xf>
    <xf numFmtId="166" fontId="4" fillId="0" borderId="15" xfId="38" applyNumberFormat="1" applyBorder="1">
      <alignment vertical="top"/>
      <protection locked="0"/>
    </xf>
    <xf numFmtId="166" fontId="4" fillId="34" borderId="15" xfId="32" applyNumberFormat="1" applyBorder="1" applyProtection="1">
      <alignment vertical="top"/>
      <protection locked="0"/>
    </xf>
    <xf numFmtId="167" fontId="3" fillId="2" borderId="14" xfId="50" applyNumberFormat="1" applyFont="1" applyFill="1" applyBorder="1" applyAlignment="1" applyProtection="1">
      <alignment horizontal="right" vertical="center"/>
      <protection locked="0"/>
    </xf>
    <xf numFmtId="167" fontId="4" fillId="3" borderId="15" xfId="50" applyNumberFormat="1" applyFill="1" applyBorder="1" applyAlignment="1" applyProtection="1">
      <alignment vertical="top"/>
      <protection locked="0"/>
    </xf>
    <xf numFmtId="0" fontId="1" fillId="0" borderId="0" xfId="56"/>
    <xf numFmtId="0" fontId="1" fillId="0" borderId="0" xfId="56" applyAlignment="1">
      <alignment horizontal="right"/>
    </xf>
    <xf numFmtId="0" fontId="32" fillId="0" borderId="0" xfId="56" applyFont="1" applyAlignment="1">
      <alignment horizontal="right"/>
    </xf>
    <xf numFmtId="0" fontId="32" fillId="0" borderId="0" xfId="56" applyFont="1" applyAlignment="1">
      <alignment horizontal="left" vertical="center"/>
    </xf>
    <xf numFmtId="0" fontId="1" fillId="0" borderId="0" xfId="56" applyAlignment="1">
      <alignment horizontal="left" vertical="center"/>
    </xf>
    <xf numFmtId="0" fontId="30" fillId="0" borderId="0" xfId="56" applyFont="1" applyAlignment="1">
      <alignment horizontal="left" vertical="center"/>
    </xf>
    <xf numFmtId="0" fontId="29" fillId="0" borderId="0" xfId="56" applyFont="1" applyAlignment="1">
      <alignment horizontal="left" vertical="center" wrapText="1"/>
    </xf>
    <xf numFmtId="0" fontId="29" fillId="0" borderId="0" xfId="56" applyFont="1" applyAlignment="1">
      <alignment horizontal="right" vertical="center" wrapText="1"/>
    </xf>
    <xf numFmtId="0" fontId="31" fillId="0" borderId="0" xfId="56" applyFont="1" applyAlignment="1">
      <alignment horizontal="right"/>
    </xf>
    <xf numFmtId="0" fontId="31" fillId="0" borderId="0" xfId="56" applyFont="1" applyAlignment="1">
      <alignment vertical="center"/>
    </xf>
    <xf numFmtId="0" fontId="28" fillId="0" borderId="0" xfId="56" applyFont="1" applyAlignment="1">
      <alignment horizontal="left" vertical="center"/>
    </xf>
    <xf numFmtId="0" fontId="30" fillId="0" borderId="0" xfId="56" applyFont="1" applyAlignment="1">
      <alignment horizontal="center" vertical="center"/>
    </xf>
    <xf numFmtId="0" fontId="31" fillId="0" borderId="0" xfId="56" applyFont="1" applyAlignment="1">
      <alignment horizontal="center" vertical="center"/>
    </xf>
    <xf numFmtId="0" fontId="33" fillId="0" borderId="0" xfId="56" applyFont="1" applyAlignment="1">
      <alignment horizontal="center" vertical="center"/>
    </xf>
    <xf numFmtId="0" fontId="1" fillId="0" borderId="0" xfId="56" applyAlignment="1">
      <alignment horizontal="center" vertical="center"/>
    </xf>
    <xf numFmtId="0" fontId="20" fillId="0" borderId="0" xfId="56" applyFont="1" applyAlignment="1">
      <alignment horizontal="center"/>
    </xf>
    <xf numFmtId="0" fontId="34" fillId="0" borderId="0" xfId="56" applyFont="1" applyAlignment="1">
      <alignment horizontal="left" wrapText="1"/>
    </xf>
    <xf numFmtId="0" fontId="1" fillId="0" borderId="0" xfId="56" applyAlignment="1">
      <alignment horizontal="center" wrapText="1"/>
    </xf>
    <xf numFmtId="0" fontId="35" fillId="0" borderId="0" xfId="56" applyFont="1" applyAlignment="1">
      <alignment horizontal="left"/>
    </xf>
    <xf numFmtId="0" fontId="26" fillId="0" borderId="0" xfId="56" applyFont="1" applyAlignment="1">
      <alignment horizontal="center"/>
    </xf>
    <xf numFmtId="0" fontId="20" fillId="0" borderId="0" xfId="56" applyFont="1"/>
    <xf numFmtId="0" fontId="20" fillId="0" borderId="0" xfId="56" applyFont="1" applyAlignment="1">
      <alignment vertical="center"/>
    </xf>
    <xf numFmtId="0" fontId="1" fillId="0" borderId="0" xfId="56" applyAlignment="1">
      <alignment vertical="center"/>
    </xf>
    <xf numFmtId="0" fontId="36" fillId="0" borderId="0" xfId="56" applyFont="1" applyAlignment="1">
      <alignment vertical="center"/>
    </xf>
    <xf numFmtId="170" fontId="36" fillId="0" borderId="0" xfId="56" applyNumberFormat="1" applyFont="1" applyAlignment="1">
      <alignment vertical="center"/>
    </xf>
    <xf numFmtId="0" fontId="36" fillId="0" borderId="0" xfId="56" applyFont="1" applyAlignment="1">
      <alignment horizontal="left" vertical="center"/>
    </xf>
    <xf numFmtId="0" fontId="37" fillId="0" borderId="0" xfId="56" applyFont="1" applyAlignment="1">
      <alignment horizontal="center"/>
    </xf>
    <xf numFmtId="170" fontId="1" fillId="0" borderId="0" xfId="56" applyNumberFormat="1"/>
    <xf numFmtId="0" fontId="36" fillId="0" borderId="0" xfId="56" applyFont="1"/>
    <xf numFmtId="170" fontId="36" fillId="0" borderId="0" xfId="56" applyNumberFormat="1" applyFont="1"/>
    <xf numFmtId="0" fontId="31" fillId="0" borderId="0" xfId="56" applyFont="1"/>
    <xf numFmtId="0" fontId="26" fillId="0" borderId="0" xfId="56" applyFont="1" applyAlignment="1">
      <alignment vertical="top"/>
    </xf>
    <xf numFmtId="0" fontId="35" fillId="0" borderId="0" xfId="56" applyFont="1" applyAlignment="1">
      <alignment horizontal="left" vertical="center"/>
    </xf>
    <xf numFmtId="0" fontId="36" fillId="0" borderId="0" xfId="56" applyFont="1" applyAlignment="1">
      <alignment horizontal="left" vertical="center" wrapText="1"/>
    </xf>
    <xf numFmtId="170" fontId="36" fillId="0" borderId="0" xfId="56" applyNumberFormat="1" applyFont="1" applyAlignment="1">
      <alignment horizontal="right" vertical="center"/>
    </xf>
    <xf numFmtId="0" fontId="20" fillId="0" borderId="0" xfId="56" applyFont="1" applyAlignment="1">
      <alignment horizontal="left"/>
    </xf>
    <xf numFmtId="0" fontId="1" fillId="0" borderId="0" xfId="56" applyAlignment="1">
      <alignment wrapText="1"/>
    </xf>
    <xf numFmtId="0" fontId="26" fillId="0" borderId="0" xfId="56" applyFont="1"/>
    <xf numFmtId="2" fontId="1" fillId="0" borderId="0" xfId="56" applyNumberFormat="1"/>
    <xf numFmtId="164" fontId="0" fillId="38" borderId="0" xfId="0" applyNumberFormat="1">
      <alignment vertical="top"/>
    </xf>
    <xf numFmtId="0" fontId="3" fillId="37" borderId="1" xfId="39" applyProtection="1">
      <alignment horizontal="center" vertical="center" wrapText="1"/>
      <protection hidden="1"/>
    </xf>
    <xf numFmtId="0" fontId="1" fillId="0" borderId="0" xfId="56" applyAlignment="1">
      <alignment horizontal="center" wrapText="1"/>
    </xf>
    <xf numFmtId="0" fontId="32" fillId="0" borderId="0" xfId="56" applyFont="1" applyAlignment="1">
      <alignment horizontal="left" vertical="center"/>
    </xf>
    <xf numFmtId="0" fontId="1" fillId="0" borderId="0" xfId="56" applyAlignment="1">
      <alignment horizontal="left" vertical="center"/>
    </xf>
    <xf numFmtId="0" fontId="35" fillId="0" borderId="0" xfId="56" applyFont="1" applyAlignment="1">
      <alignment horizontal="left"/>
    </xf>
    <xf numFmtId="0" fontId="34" fillId="0" borderId="0" xfId="56" applyFont="1" applyAlignment="1">
      <alignment horizontal="left" wrapText="1"/>
    </xf>
    <xf numFmtId="0" fontId="1" fillId="0" borderId="0" xfId="56"/>
    <xf numFmtId="0" fontId="35" fillId="0" borderId="0" xfId="56" applyFont="1" applyAlignment="1">
      <alignment horizontal="left" vertical="top"/>
    </xf>
    <xf numFmtId="0" fontId="1" fillId="0" borderId="0" xfId="56" applyAlignment="1">
      <alignment horizontal="left"/>
    </xf>
    <xf numFmtId="0" fontId="20" fillId="0" borderId="0" xfId="56" applyFont="1" applyAlignment="1">
      <alignment horizontal="left" vertical="center"/>
    </xf>
    <xf numFmtId="0" fontId="20" fillId="0" borderId="0" xfId="56" applyFont="1" applyAlignment="1">
      <alignment horizontal="center" wrapText="1"/>
    </xf>
    <xf numFmtId="2" fontId="20" fillId="0" borderId="0" xfId="56" applyNumberFormat="1" applyFont="1" applyAlignment="1">
      <alignment horizontal="center" wrapText="1"/>
    </xf>
  </cellXfs>
  <cellStyles count="57">
    <cellStyle name="20% - Accent1" xfId="1" builtinId="30" hidden="1"/>
    <cellStyle name="20% - Accent2" xfId="2" builtinId="34" hidden="1"/>
    <cellStyle name="20% - Accent3" xfId="3" builtinId="38" hidden="1"/>
    <cellStyle name="20% - Accent4" xfId="4" builtinId="42" hidden="1"/>
    <cellStyle name="20% - Accent5" xfId="5" builtinId="46" hidden="1"/>
    <cellStyle name="20% - Accent6" xfId="6" builtinId="50" hidden="1"/>
    <cellStyle name="40% - Accent1" xfId="7" builtinId="31" hidden="1"/>
    <cellStyle name="40% - Accent2" xfId="8" builtinId="35" hidden="1"/>
    <cellStyle name="40% - Accent3" xfId="9" builtinId="39" hidden="1"/>
    <cellStyle name="40% - Accent4" xfId="10" builtinId="43" hidden="1"/>
    <cellStyle name="40% - Accent5" xfId="11" builtinId="47" hidden="1"/>
    <cellStyle name="40% - Accent6" xfId="12" builtinId="51" hidden="1"/>
    <cellStyle name="60% - Accent1" xfId="13" builtinId="32" hidden="1"/>
    <cellStyle name="60% - Accent2" xfId="14" builtinId="36" hidden="1"/>
    <cellStyle name="60% - Accent3" xfId="15" builtinId="40" hidden="1"/>
    <cellStyle name="60% - Accent4" xfId="16" builtinId="44" hidden="1"/>
    <cellStyle name="60% - Accent5" xfId="17" builtinId="48" hidden="1"/>
    <cellStyle name="60% - Accent6" xfId="18" builtinId="52" hidden="1"/>
    <cellStyle name="Accent1" xfId="19" builtinId="29" hidden="1"/>
    <cellStyle name="Accent2" xfId="20" builtinId="33" hidden="1"/>
    <cellStyle name="Accent3" xfId="21" builtinId="37" hidden="1"/>
    <cellStyle name="Accent4" xfId="22" builtinId="41" hidden="1"/>
    <cellStyle name="Accent5" xfId="23" builtinId="45" hidden="1"/>
    <cellStyle name="Accent6" xfId="24" builtinId="49" hidden="1"/>
    <cellStyle name="Bad" xfId="25" builtinId="27" hidden="1"/>
    <cellStyle name="Calculation" xfId="26" builtinId="22" hidden="1"/>
    <cellStyle name="Check Cell" xfId="27" builtinId="23" hidden="1"/>
    <cellStyle name="Code" xfId="28"/>
    <cellStyle name="Comma" xfId="29" builtinId="3" customBuiltin="1"/>
    <cellStyle name="Comma [0]" xfId="51" builtinId="6" customBuiltin="1"/>
    <cellStyle name="Currency" xfId="30" builtinId="4" customBuiltin="1"/>
    <cellStyle name="Currency [0]" xfId="52" builtinId="7" customBuiltin="1"/>
    <cellStyle name="DoNotUse" xfId="48"/>
    <cellStyle name="Explanatory Text" xfId="31" builtinId="53" hidden="1"/>
    <cellStyle name="Formula" xfId="32"/>
    <cellStyle name="Good" xfId="33" builtinId="26" hidden="1"/>
    <cellStyle name="Heading 1" xfId="34" builtinId="16" hidden="1"/>
    <cellStyle name="Heading 2" xfId="35" builtinId="17" hidden="1"/>
    <cellStyle name="Heading 3" xfId="36" builtinId="18" hidden="1"/>
    <cellStyle name="Heading 4" xfId="37" builtinId="19" hidden="1"/>
    <cellStyle name="Input" xfId="38" builtinId="20" customBuiltin="1"/>
    <cellStyle name="Label" xfId="39"/>
    <cellStyle name="LabelCtrAcr" xfId="40"/>
    <cellStyle name="Linked Cell" xfId="41" builtinId="24" hidden="1"/>
    <cellStyle name="Model" xfId="53"/>
    <cellStyle name="Neutral" xfId="42" builtinId="28" hidden="1"/>
    <cellStyle name="Normal" xfId="0" builtinId="0" customBuiltin="1"/>
    <cellStyle name="Normal 2" xfId="55"/>
    <cellStyle name="Normal 3" xfId="56"/>
    <cellStyle name="Note" xfId="43" builtinId="10" hidden="1"/>
    <cellStyle name="Output" xfId="44" builtinId="21" hidden="1"/>
    <cellStyle name="Percent" xfId="50" builtinId="5" customBuiltin="1"/>
    <cellStyle name="Remark" xfId="49"/>
    <cellStyle name="Title" xfId="45" builtinId="15" hidden="1"/>
    <cellStyle name="Total" xfId="46" builtinId="25" hidden="1"/>
    <cellStyle name="Validated" xfId="54"/>
    <cellStyle name="Warning Text" xfId="47" builtinId="11" hidden="1"/>
  </cellStyles>
  <dxfs count="3">
    <dxf>
      <fill>
        <patternFill>
          <bgColor indexed="13"/>
        </patternFill>
      </fill>
    </dxf>
    <dxf>
      <fill>
        <patternFill>
          <bgColor indexed="13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F3F3F3"/>
      <rgbColor rgb="00DCDCDC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E7E7E7"/>
      <rgbColor rgb="00003366"/>
      <rgbColor rgb="00339966"/>
      <rgbColor rgb="00003300"/>
      <rgbColor rgb="00333300"/>
      <rgbColor rgb="00993300"/>
      <rgbColor rgb="00993366"/>
      <rgbColor rgb="00333399"/>
      <rgbColor rgb="00909090"/>
    </indexedColors>
    <mruColors>
      <color rgb="FFDF1900"/>
      <color rgb="FF00660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" Type="http://schemas.openxmlformats.org/officeDocument/2006/relationships/image" Target="../media/image3.png"/><Relationship Id="rId21" Type="http://schemas.openxmlformats.org/officeDocument/2006/relationships/image" Target="../media/image21.jp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0" Type="http://schemas.openxmlformats.org/officeDocument/2006/relationships/image" Target="../media/image20.jp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10" Type="http://schemas.openxmlformats.org/officeDocument/2006/relationships/image" Target="../media/image10.png"/><Relationship Id="rId19" Type="http://schemas.openxmlformats.org/officeDocument/2006/relationships/image" Target="../media/image19.jp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38417</xdr:colOff>
      <xdr:row>14</xdr:row>
      <xdr:rowOff>110351</xdr:rowOff>
    </xdr:from>
    <xdr:ext cx="12510769" cy="235521"/>
    <xdr:sp macro="[0]!CutEm" textlink="">
      <xdr:nvSpPr>
        <xdr:cNvPr id="2" name="Rounded Rectangle 1">
          <a:extLst>
            <a:ext uri="{FF2B5EF4-FFF2-40B4-BE49-F238E27FC236}">
              <a16:creationId xmlns:a16="http://schemas.microsoft.com/office/drawing/2014/main" xmlns="" id="{D9D0193A-FC5C-4B0B-B417-42E4561301C5}"/>
            </a:ext>
          </a:extLst>
        </xdr:cNvPr>
        <xdr:cNvSpPr/>
      </xdr:nvSpPr>
      <xdr:spPr>
        <a:xfrm>
          <a:off x="190817" y="2243951"/>
          <a:ext cx="12510769" cy="235521"/>
        </a:xfrm>
        <a:prstGeom prst="roundRect">
          <a:avLst>
            <a:gd name="adj" fmla="val 46659"/>
          </a:avLst>
        </a:prstGeom>
        <a:solidFill>
          <a:srgbClr val="0070C0"/>
        </a:solidFill>
        <a:ln w="12700">
          <a:solidFill>
            <a:schemeClr val="bg1">
              <a:lumMod val="75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45720" tIns="0" rIns="45720" bIns="0" rtlCol="0" anchor="ctr">
          <a:spAutoFit/>
        </a:bodyPr>
        <a:lstStyle/>
        <a:p>
          <a:pPr algn="ctr"/>
          <a:r>
            <a:rPr lang="en-US" sz="1100" b="0">
              <a:solidFill>
                <a:schemeClr val="bg1"/>
              </a:solidFill>
              <a:latin typeface="+mn-lt"/>
              <a:ea typeface="+mn-ea"/>
              <a:cs typeface="+mn-cs"/>
            </a:rPr>
            <a:t>Cut</a:t>
          </a:r>
          <a:r>
            <a:rPr lang="en-US" sz="1100" b="0"/>
            <a:t> 'Em</a:t>
          </a:r>
        </a:p>
      </xdr:txBody>
    </xdr:sp>
    <xdr:clientData/>
  </xdr:oneCellAnchor>
  <xdr:oneCellAnchor>
    <xdr:from>
      <xdr:col>6</xdr:col>
      <xdr:colOff>0</xdr:colOff>
      <xdr:row>1</xdr:row>
      <xdr:rowOff>0</xdr:rowOff>
    </xdr:from>
    <xdr:ext cx="7520940" cy="609600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xmlns="" id="{71055E03-1CF2-4153-BCC3-6E16D34749AA}"/>
            </a:ext>
          </a:extLst>
        </xdr:cNvPr>
        <xdr:cNvSpPr txBox="1"/>
      </xdr:nvSpPr>
      <xdr:spPr>
        <a:xfrm>
          <a:off x="2933700" y="152400"/>
          <a:ext cx="7520940" cy="609600"/>
        </a:xfrm>
        <a:prstGeom prst="rect">
          <a:avLst/>
        </a:prstGeom>
        <a:solidFill>
          <a:schemeClr val="bg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>
          <a:noAutofit/>
        </a:bodyPr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3200">
              <a:solidFill>
                <a:schemeClr val="tx1"/>
              </a:solidFill>
            </a:rPr>
            <a:t>Number</a:t>
          </a:r>
          <a:r>
            <a:rPr lang="en-US" sz="3200" baseline="0">
              <a:solidFill>
                <a:schemeClr val="tx1"/>
              </a:solidFill>
            </a:rPr>
            <a:t> of channels and Covers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3200" baseline="0">
              <a:solidFill>
                <a:schemeClr val="tx1"/>
              </a:solidFill>
            </a:rPr>
            <a:t>=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chemeClr val="bg1"/>
              </a:solidFill>
            </a:rPr>
            <a:t>the </a:t>
          </a:r>
          <a:endParaRPr lang="en-US" sz="1100" baseline="0">
            <a:solidFill>
              <a:schemeClr val="bg1"/>
            </a:solidFill>
            <a:latin typeface="+mn-lt"/>
            <a:ea typeface="+mn-ea"/>
            <a:cs typeface="+mn-cs"/>
          </a:endParaRP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38417</xdr:colOff>
      <xdr:row>14</xdr:row>
      <xdr:rowOff>110351</xdr:rowOff>
    </xdr:from>
    <xdr:ext cx="12510769" cy="235521"/>
    <xdr:sp macro="[0]!CutEm" textlink="">
      <xdr:nvSpPr>
        <xdr:cNvPr id="2" name="Rounded Rectangle 1">
          <a:extLst>
            <a:ext uri="{FF2B5EF4-FFF2-40B4-BE49-F238E27FC236}">
              <a16:creationId xmlns:a16="http://schemas.microsoft.com/office/drawing/2014/main" xmlns="" id="{00000000-0008-0000-0200-000002000000}"/>
            </a:ext>
          </a:extLst>
        </xdr:cNvPr>
        <xdr:cNvSpPr/>
      </xdr:nvSpPr>
      <xdr:spPr>
        <a:xfrm>
          <a:off x="195580" y="2205851"/>
          <a:ext cx="12510769" cy="235521"/>
        </a:xfrm>
        <a:prstGeom prst="roundRect">
          <a:avLst>
            <a:gd name="adj" fmla="val 46659"/>
          </a:avLst>
        </a:prstGeom>
        <a:solidFill>
          <a:srgbClr val="0070C0"/>
        </a:solidFill>
        <a:ln w="12700">
          <a:solidFill>
            <a:schemeClr val="bg1">
              <a:lumMod val="75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45720" tIns="0" rIns="45720" bIns="0" rtlCol="0" anchor="ctr">
          <a:spAutoFit/>
        </a:bodyPr>
        <a:lstStyle/>
        <a:p>
          <a:pPr algn="ctr"/>
          <a:r>
            <a:rPr lang="en-US" sz="1100" b="0">
              <a:solidFill>
                <a:schemeClr val="bg1"/>
              </a:solidFill>
              <a:latin typeface="+mn-lt"/>
              <a:ea typeface="+mn-ea"/>
              <a:cs typeface="+mn-cs"/>
            </a:rPr>
            <a:t>Cut</a:t>
          </a:r>
          <a:r>
            <a:rPr lang="en-US" sz="1100" b="0"/>
            <a:t> 'Em</a:t>
          </a:r>
        </a:p>
      </xdr:txBody>
    </xdr:sp>
    <xdr:clientData/>
  </xdr:oneCellAnchor>
  <xdr:oneCellAnchor>
    <xdr:from>
      <xdr:col>6</xdr:col>
      <xdr:colOff>0</xdr:colOff>
      <xdr:row>1</xdr:row>
      <xdr:rowOff>0</xdr:rowOff>
    </xdr:from>
    <xdr:ext cx="7520940" cy="1338262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xmlns="" id="{00000000-0008-0000-0200-000004000000}"/>
            </a:ext>
          </a:extLst>
        </xdr:cNvPr>
        <xdr:cNvSpPr txBox="1"/>
      </xdr:nvSpPr>
      <xdr:spPr>
        <a:xfrm>
          <a:off x="2957513" y="147638"/>
          <a:ext cx="7520940" cy="1338262"/>
        </a:xfrm>
        <a:prstGeom prst="rect">
          <a:avLst/>
        </a:prstGeom>
        <a:solidFill>
          <a:schemeClr val="bg1">
            <a:lumMod val="95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>
          <a:noAutofit/>
        </a:bodyPr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chemeClr val="bg1"/>
              </a:solidFill>
            </a:rPr>
            <a:t>This uses VBA to do about</a:t>
          </a:r>
          <a:r>
            <a:rPr lang="en-US" sz="1100" baseline="0">
              <a:solidFill>
                <a:schemeClr val="bg1"/>
              </a:solidFill>
            </a:rPr>
            <a:t> </a:t>
          </a:r>
          <a:r>
            <a:rPr lang="en-US" sz="1100">
              <a:solidFill>
                <a:schemeClr val="bg1"/>
              </a:solidFill>
            </a:rPr>
            <a:t>the </a:t>
          </a:r>
          <a:endParaRPr lang="en-US" sz="1100" baseline="0">
            <a:solidFill>
              <a:schemeClr val="bg1"/>
            </a:solidFill>
            <a:latin typeface="+mn-lt"/>
            <a:ea typeface="+mn-ea"/>
            <a:cs typeface="+mn-cs"/>
          </a:endParaRP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8465</xdr:colOff>
      <xdr:row>19</xdr:row>
      <xdr:rowOff>8653</xdr:rowOff>
    </xdr:from>
    <xdr:to>
      <xdr:col>1</xdr:col>
      <xdr:colOff>2100056</xdr:colOff>
      <xdr:row>21</xdr:row>
      <xdr:rowOff>39937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xmlns="" id="{4E0AAD70-E251-4970-BBC6-FB8E0889057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6911" t="25844" r="5255" b="24419"/>
        <a:stretch/>
      </xdr:blipFill>
      <xdr:spPr>
        <a:xfrm>
          <a:off x="94190" y="5152153"/>
          <a:ext cx="2092649" cy="506475"/>
        </a:xfrm>
        <a:prstGeom prst="rect">
          <a:avLst/>
        </a:prstGeom>
      </xdr:spPr>
    </xdr:pic>
    <xdr:clientData/>
  </xdr:twoCellAnchor>
  <xdr:twoCellAnchor editAs="oneCell">
    <xdr:from>
      <xdr:col>0</xdr:col>
      <xdr:colOff>46285</xdr:colOff>
      <xdr:row>7</xdr:row>
      <xdr:rowOff>85184</xdr:rowOff>
    </xdr:from>
    <xdr:to>
      <xdr:col>1</xdr:col>
      <xdr:colOff>2129887</xdr:colOff>
      <xdr:row>9</xdr:row>
      <xdr:rowOff>147907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xmlns="" id="{16C1DA5A-3116-45B5-A05A-5767605E1D9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l="1" t="-2049" r="1301" b="10551"/>
        <a:stretch/>
      </xdr:blipFill>
      <xdr:spPr>
        <a:xfrm>
          <a:off x="46285" y="2418809"/>
          <a:ext cx="2164037" cy="546382"/>
        </a:xfrm>
        <a:prstGeom prst="rect">
          <a:avLst/>
        </a:prstGeom>
      </xdr:spPr>
    </xdr:pic>
    <xdr:clientData/>
  </xdr:twoCellAnchor>
  <xdr:twoCellAnchor editAs="oneCell">
    <xdr:from>
      <xdr:col>0</xdr:col>
      <xdr:colOff>76201</xdr:colOff>
      <xdr:row>27</xdr:row>
      <xdr:rowOff>86782</xdr:rowOff>
    </xdr:from>
    <xdr:to>
      <xdr:col>1</xdr:col>
      <xdr:colOff>1756939</xdr:colOff>
      <xdr:row>29</xdr:row>
      <xdr:rowOff>193329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xmlns="" id="{22A2828D-B2C9-4A0C-B9B2-05C8351E17C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/>
        <a:srcRect l="-2080" r="2080" b="8968"/>
        <a:stretch/>
      </xdr:blipFill>
      <xdr:spPr>
        <a:xfrm>
          <a:off x="76201" y="7192432"/>
          <a:ext cx="1768579" cy="641005"/>
        </a:xfrm>
        <a:prstGeom prst="rect">
          <a:avLst/>
        </a:prstGeom>
      </xdr:spPr>
    </xdr:pic>
    <xdr:clientData/>
  </xdr:twoCellAnchor>
  <xdr:twoCellAnchor editAs="oneCell">
    <xdr:from>
      <xdr:col>1</xdr:col>
      <xdr:colOff>87840</xdr:colOff>
      <xdr:row>36</xdr:row>
      <xdr:rowOff>85926</xdr:rowOff>
    </xdr:from>
    <xdr:to>
      <xdr:col>1</xdr:col>
      <xdr:colOff>1751911</xdr:colOff>
      <xdr:row>38</xdr:row>
      <xdr:rowOff>76698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xmlns="" id="{97E99F20-621B-40E5-B4DE-A5005BE7599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4783" t="30783" r="6317" b="18781"/>
        <a:stretch/>
      </xdr:blipFill>
      <xdr:spPr>
        <a:xfrm flipH="1">
          <a:off x="173565" y="9515676"/>
          <a:ext cx="1665129" cy="525230"/>
        </a:xfrm>
        <a:prstGeom prst="rect">
          <a:avLst/>
        </a:prstGeom>
      </xdr:spPr>
    </xdr:pic>
    <xdr:clientData/>
  </xdr:twoCellAnchor>
  <xdr:twoCellAnchor editAs="oneCell">
    <xdr:from>
      <xdr:col>8</xdr:col>
      <xdr:colOff>65186</xdr:colOff>
      <xdr:row>7</xdr:row>
      <xdr:rowOff>98588</xdr:rowOff>
    </xdr:from>
    <xdr:to>
      <xdr:col>8</xdr:col>
      <xdr:colOff>836926</xdr:colOff>
      <xdr:row>10</xdr:row>
      <xdr:rowOff>141539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xmlns="" id="{26C91F7A-F31D-4353-85D1-51EF64D8849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"/>
        <a:srcRect l="13143" t="9081" r="13165" b="5818"/>
        <a:stretch/>
      </xdr:blipFill>
      <xdr:spPr>
        <a:xfrm>
          <a:off x="6008786" y="2432213"/>
          <a:ext cx="770682" cy="708642"/>
        </a:xfrm>
        <a:prstGeom prst="rect">
          <a:avLst/>
        </a:prstGeom>
      </xdr:spPr>
    </xdr:pic>
    <xdr:clientData/>
  </xdr:twoCellAnchor>
  <xdr:twoCellAnchor editAs="oneCell">
    <xdr:from>
      <xdr:col>8</xdr:col>
      <xdr:colOff>47148</xdr:colOff>
      <xdr:row>17</xdr:row>
      <xdr:rowOff>76090</xdr:rowOff>
    </xdr:from>
    <xdr:to>
      <xdr:col>8</xdr:col>
      <xdr:colOff>872827</xdr:colOff>
      <xdr:row>20</xdr:row>
      <xdr:rowOff>80930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xmlns="" id="{BD463746-BDA8-4A9A-8018-B4EAAB59EC8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"/>
        <a:srcRect r="2888" b="3790"/>
        <a:stretch/>
      </xdr:blipFill>
      <xdr:spPr>
        <a:xfrm>
          <a:off x="5990748" y="4743340"/>
          <a:ext cx="826737" cy="716040"/>
        </a:xfrm>
        <a:prstGeom prst="rect">
          <a:avLst/>
        </a:prstGeom>
      </xdr:spPr>
    </xdr:pic>
    <xdr:clientData/>
  </xdr:twoCellAnchor>
  <xdr:twoCellAnchor editAs="oneCell">
    <xdr:from>
      <xdr:col>8</xdr:col>
      <xdr:colOff>76919</xdr:colOff>
      <xdr:row>27</xdr:row>
      <xdr:rowOff>157576</xdr:rowOff>
    </xdr:from>
    <xdr:to>
      <xdr:col>8</xdr:col>
      <xdr:colOff>1108984</xdr:colOff>
      <xdr:row>30</xdr:row>
      <xdr:rowOff>38876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xmlns="" id="{EC0EF357-67AB-49B1-A4A4-1EE96F2E99B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"/>
        <a:srcRect l="15517" t="-3125" r="12070" b="3125"/>
        <a:stretch/>
      </xdr:blipFill>
      <xdr:spPr>
        <a:xfrm rot="5400000">
          <a:off x="6212784" y="7070961"/>
          <a:ext cx="652825" cy="1037355"/>
        </a:xfrm>
        <a:prstGeom prst="rect">
          <a:avLst/>
        </a:prstGeom>
      </xdr:spPr>
    </xdr:pic>
    <xdr:clientData/>
  </xdr:twoCellAnchor>
  <xdr:twoCellAnchor editAs="oneCell">
    <xdr:from>
      <xdr:col>8</xdr:col>
      <xdr:colOff>52499</xdr:colOff>
      <xdr:row>47</xdr:row>
      <xdr:rowOff>58370</xdr:rowOff>
    </xdr:from>
    <xdr:to>
      <xdr:col>8</xdr:col>
      <xdr:colOff>1247726</xdr:colOff>
      <xdr:row>48</xdr:row>
      <xdr:rowOff>294564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xmlns="" id="{A9F247DA-0998-4926-B646-69D47A25FAE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"/>
        <a:srcRect l="6299" t="7880" r="10102" b="17869"/>
        <a:stretch/>
      </xdr:blipFill>
      <xdr:spPr>
        <a:xfrm>
          <a:off x="5996099" y="12288470"/>
          <a:ext cx="1183585" cy="537819"/>
        </a:xfrm>
        <a:prstGeom prst="rect">
          <a:avLst/>
        </a:prstGeom>
      </xdr:spPr>
    </xdr:pic>
    <xdr:clientData/>
  </xdr:twoCellAnchor>
  <xdr:twoCellAnchor editAs="oneCell">
    <xdr:from>
      <xdr:col>8</xdr:col>
      <xdr:colOff>67255</xdr:colOff>
      <xdr:row>37</xdr:row>
      <xdr:rowOff>104778</xdr:rowOff>
    </xdr:from>
    <xdr:to>
      <xdr:col>8</xdr:col>
      <xdr:colOff>1060438</xdr:colOff>
      <xdr:row>40</xdr:row>
      <xdr:rowOff>118750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xmlns="" id="{912929D4-A611-4913-B089-D0ABA5FC0BC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"/>
        <a:srcRect l="7676" t="4238" r="13805" b="6486"/>
        <a:stretch/>
      </xdr:blipFill>
      <xdr:spPr>
        <a:xfrm rot="5400000">
          <a:off x="6140629" y="9700029"/>
          <a:ext cx="726230" cy="985777"/>
        </a:xfrm>
        <a:prstGeom prst="rect">
          <a:avLst/>
        </a:prstGeom>
      </xdr:spPr>
    </xdr:pic>
    <xdr:clientData/>
  </xdr:twoCellAnchor>
  <xdr:twoCellAnchor editAs="oneCell">
    <xdr:from>
      <xdr:col>15</xdr:col>
      <xdr:colOff>48683</xdr:colOff>
      <xdr:row>7</xdr:row>
      <xdr:rowOff>36945</xdr:rowOff>
    </xdr:from>
    <xdr:to>
      <xdr:col>15</xdr:col>
      <xdr:colOff>1223681</xdr:colOff>
      <xdr:row>10</xdr:row>
      <xdr:rowOff>76696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xmlns="" id="{674832CE-1E2B-46CF-94D9-E0922EAEDDF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0"/>
        <a:srcRect l="6362" t="15797" r="9658" b="10830"/>
        <a:stretch/>
      </xdr:blipFill>
      <xdr:spPr>
        <a:xfrm>
          <a:off x="10707158" y="2370570"/>
          <a:ext cx="1176056" cy="717084"/>
        </a:xfrm>
        <a:prstGeom prst="rect">
          <a:avLst/>
        </a:prstGeom>
      </xdr:spPr>
    </xdr:pic>
    <xdr:clientData/>
  </xdr:twoCellAnchor>
  <xdr:twoCellAnchor editAs="oneCell">
    <xdr:from>
      <xdr:col>14</xdr:col>
      <xdr:colOff>538646</xdr:colOff>
      <xdr:row>44</xdr:row>
      <xdr:rowOff>155195</xdr:rowOff>
    </xdr:from>
    <xdr:to>
      <xdr:col>16</xdr:col>
      <xdr:colOff>27402</xdr:colOff>
      <xdr:row>52</xdr:row>
      <xdr:rowOff>102293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xmlns="" id="{B19443D2-663D-472C-9E79-C5CAA70C9D0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1"/>
        <a:srcRect l="11040" t="7318" r="11678" b="2731"/>
        <a:stretch/>
      </xdr:blipFill>
      <xdr:spPr>
        <a:xfrm>
          <a:off x="10587521" y="11604245"/>
          <a:ext cx="1735598" cy="2094455"/>
        </a:xfrm>
        <a:prstGeom prst="rect">
          <a:avLst/>
        </a:prstGeom>
      </xdr:spPr>
    </xdr:pic>
    <xdr:clientData/>
  </xdr:twoCellAnchor>
  <xdr:twoCellAnchor editAs="oneCell">
    <xdr:from>
      <xdr:col>15</xdr:col>
      <xdr:colOff>27135</xdr:colOff>
      <xdr:row>17</xdr:row>
      <xdr:rowOff>95250</xdr:rowOff>
    </xdr:from>
    <xdr:to>
      <xdr:col>15</xdr:col>
      <xdr:colOff>995806</xdr:colOff>
      <xdr:row>20</xdr:row>
      <xdr:rowOff>4482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xmlns="" id="{5C39C3ED-21CF-4CF0-8266-05EC3587602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2"/>
        <a:srcRect r="4652" b="5926"/>
        <a:stretch/>
      </xdr:blipFill>
      <xdr:spPr>
        <a:xfrm>
          <a:off x="10685610" y="4762500"/>
          <a:ext cx="973961" cy="619373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15</xdr:col>
      <xdr:colOff>10838</xdr:colOff>
      <xdr:row>20</xdr:row>
      <xdr:rowOff>149184</xdr:rowOff>
    </xdr:from>
    <xdr:to>
      <xdr:col>15</xdr:col>
      <xdr:colOff>1032901</xdr:colOff>
      <xdr:row>23</xdr:row>
      <xdr:rowOff>141170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xmlns="" id="{EA20155A-97C4-482A-B782-6FB04F8FD5F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3"/>
        <a:srcRect t="1" r="7112" b="6288"/>
        <a:stretch/>
      </xdr:blipFill>
      <xdr:spPr>
        <a:xfrm>
          <a:off x="10669313" y="5530809"/>
          <a:ext cx="1028411" cy="691543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15</xdr:col>
      <xdr:colOff>20526</xdr:colOff>
      <xdr:row>24</xdr:row>
      <xdr:rowOff>19049</xdr:rowOff>
    </xdr:from>
    <xdr:to>
      <xdr:col>15</xdr:col>
      <xdr:colOff>1062323</xdr:colOff>
      <xdr:row>26</xdr:row>
      <xdr:rowOff>233266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xmlns="" id="{6CBC163F-A3B7-4CEE-B5D8-88EC30EB15C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4"/>
        <a:srcRect r="2620"/>
        <a:stretch/>
      </xdr:blipFill>
      <xdr:spPr>
        <a:xfrm>
          <a:off x="10679001" y="6353174"/>
          <a:ext cx="1039680" cy="690466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15</xdr:col>
      <xdr:colOff>28771</xdr:colOff>
      <xdr:row>27</xdr:row>
      <xdr:rowOff>77561</xdr:rowOff>
    </xdr:from>
    <xdr:to>
      <xdr:col>15</xdr:col>
      <xdr:colOff>1208413</xdr:colOff>
      <xdr:row>30</xdr:row>
      <xdr:rowOff>4429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xmlns="" id="{946D172C-FB6A-4C70-B771-7C6C73EB176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5"/>
        <a:srcRect t="-1" b="2581"/>
        <a:stretch/>
      </xdr:blipFill>
      <xdr:spPr>
        <a:xfrm>
          <a:off x="10687246" y="7183211"/>
          <a:ext cx="1168000" cy="703683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15</xdr:col>
      <xdr:colOff>9416</xdr:colOff>
      <xdr:row>34</xdr:row>
      <xdr:rowOff>204107</xdr:rowOff>
    </xdr:from>
    <xdr:to>
      <xdr:col>15</xdr:col>
      <xdr:colOff>1603016</xdr:colOff>
      <xdr:row>36</xdr:row>
      <xdr:rowOff>77386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xmlns="" id="{F3B2A42D-B4DA-4940-8BB6-3F1A22CD30F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6"/>
        <a:srcRect l="1" t="14975" r="4619"/>
        <a:stretch/>
      </xdr:blipFill>
      <xdr:spPr>
        <a:xfrm>
          <a:off x="10667891" y="9100457"/>
          <a:ext cx="1594658" cy="407737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15</xdr:col>
      <xdr:colOff>145791</xdr:colOff>
      <xdr:row>37</xdr:row>
      <xdr:rowOff>165039</xdr:rowOff>
    </xdr:from>
    <xdr:to>
      <xdr:col>15</xdr:col>
      <xdr:colOff>1405121</xdr:colOff>
      <xdr:row>41</xdr:row>
      <xdr:rowOff>220836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xmlns="" id="{24726F33-6422-4C8A-9571-C3E42BAA1A7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7"/>
        <a:srcRect t="1" r="6710" b="3503"/>
        <a:stretch/>
      </xdr:blipFill>
      <xdr:spPr>
        <a:xfrm>
          <a:off x="10804266" y="9890064"/>
          <a:ext cx="1258272" cy="998774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271947</xdr:colOff>
      <xdr:row>1</xdr:row>
      <xdr:rowOff>105745</xdr:rowOff>
    </xdr:from>
    <xdr:to>
      <xdr:col>1</xdr:col>
      <xdr:colOff>1745147</xdr:colOff>
      <xdr:row>4</xdr:row>
      <xdr:rowOff>2085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xmlns="" id="{A15B46E6-01F9-415E-88EB-B87A001018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7672" y="296245"/>
          <a:ext cx="1466851" cy="1342218"/>
        </a:xfrm>
        <a:prstGeom prst="rect">
          <a:avLst/>
        </a:prstGeom>
        <a:ln w="57150" cmpd="sng">
          <a:noFill/>
          <a:miter lim="800000"/>
        </a:ln>
      </xdr:spPr>
    </xdr:pic>
    <xdr:clientData/>
  </xdr:twoCellAnchor>
  <xdr:twoCellAnchor editAs="oneCell">
    <xdr:from>
      <xdr:col>0</xdr:col>
      <xdr:colOff>0</xdr:colOff>
      <xdr:row>0</xdr:row>
      <xdr:rowOff>152420</xdr:rowOff>
    </xdr:from>
    <xdr:to>
      <xdr:col>10</xdr:col>
      <xdr:colOff>583790</xdr:colOff>
      <xdr:row>4</xdr:row>
      <xdr:rowOff>190186</xdr:rowOff>
    </xdr:to>
    <xdr:pic>
      <xdr:nvPicPr>
        <xdr:cNvPr id="20" name="Picture 19">
          <a:extLst>
            <a:ext uri="{FF2B5EF4-FFF2-40B4-BE49-F238E27FC236}">
              <a16:creationId xmlns:a16="http://schemas.microsoft.com/office/drawing/2014/main" xmlns="" id="{9A38DC80-5399-4BCC-B346-2B94870EF3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52420"/>
          <a:ext cx="9999782" cy="1688766"/>
        </a:xfrm>
        <a:prstGeom prst="rect">
          <a:avLst/>
        </a:prstGeom>
      </xdr:spPr>
    </xdr:pic>
    <xdr:clientData/>
  </xdr:twoCellAnchor>
  <xdr:twoCellAnchor editAs="oneCell">
    <xdr:from>
      <xdr:col>14</xdr:col>
      <xdr:colOff>198967</xdr:colOff>
      <xdr:row>0</xdr:row>
      <xdr:rowOff>142894</xdr:rowOff>
    </xdr:from>
    <xdr:to>
      <xdr:col>20</xdr:col>
      <xdr:colOff>9526</xdr:colOff>
      <xdr:row>4</xdr:row>
      <xdr:rowOff>182829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xmlns="" id="{6EEB0750-B342-4B94-B86E-EDD22ED09A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05217" y="142894"/>
          <a:ext cx="8745009" cy="1678235"/>
        </a:xfrm>
        <a:prstGeom prst="rect">
          <a:avLst/>
        </a:prstGeom>
      </xdr:spPr>
    </xdr:pic>
    <xdr:clientData/>
  </xdr:twoCellAnchor>
  <xdr:twoCellAnchor editAs="oneCell">
    <xdr:from>
      <xdr:col>8</xdr:col>
      <xdr:colOff>237067</xdr:colOff>
      <xdr:row>0</xdr:row>
      <xdr:rowOff>143933</xdr:rowOff>
    </xdr:from>
    <xdr:to>
      <xdr:col>16</xdr:col>
      <xdr:colOff>245887</xdr:colOff>
      <xdr:row>4</xdr:row>
      <xdr:rowOff>194382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xmlns="" id="{9655B3AE-2105-4AD5-884C-066C008BDF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1" y="143933"/>
          <a:ext cx="7476420" cy="170250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T15"/>
  <sheetViews>
    <sheetView workbookViewId="0">
      <selection activeCell="B8" sqref="B8"/>
    </sheetView>
  </sheetViews>
  <sheetFormatPr defaultColWidth="8.6640625" defaultRowHeight="12" x14ac:dyDescent="0.2"/>
  <cols>
    <col min="1" max="1" width="25.1640625" style="10" bestFit="1" customWidth="1"/>
    <col min="2" max="2" width="24.5" style="10" bestFit="1" customWidth="1"/>
    <col min="3" max="9" width="23.6640625" style="10" bestFit="1" customWidth="1"/>
    <col min="10" max="10" width="23.83203125" style="10" bestFit="1" customWidth="1"/>
    <col min="11" max="41" width="25.6640625" style="10" bestFit="1" customWidth="1"/>
    <col min="42" max="16384" width="8.6640625" style="10"/>
  </cols>
  <sheetData>
    <row r="1" spans="1:46" ht="21.75" thickBot="1" x14ac:dyDescent="0.25">
      <c r="A1" s="17"/>
      <c r="B1" s="16" t="s">
        <v>12</v>
      </c>
      <c r="C1" s="18" t="s">
        <v>13</v>
      </c>
      <c r="D1" s="18" t="s">
        <v>14</v>
      </c>
      <c r="E1" s="18" t="s">
        <v>15</v>
      </c>
      <c r="F1" s="18" t="s">
        <v>16</v>
      </c>
      <c r="G1" s="18" t="s">
        <v>17</v>
      </c>
      <c r="H1" s="18" t="s">
        <v>18</v>
      </c>
      <c r="I1" s="19" t="s">
        <v>19</v>
      </c>
      <c r="J1" s="19" t="s">
        <v>28</v>
      </c>
      <c r="K1" s="19" t="s">
        <v>29</v>
      </c>
      <c r="L1" s="19" t="s">
        <v>30</v>
      </c>
      <c r="M1" s="19" t="s">
        <v>31</v>
      </c>
      <c r="N1" s="19" t="s">
        <v>32</v>
      </c>
      <c r="O1" s="19" t="s">
        <v>33</v>
      </c>
      <c r="P1" s="19" t="s">
        <v>34</v>
      </c>
      <c r="Q1" s="19" t="s">
        <v>35</v>
      </c>
      <c r="R1" s="19" t="s">
        <v>36</v>
      </c>
      <c r="S1" s="19" t="s">
        <v>37</v>
      </c>
      <c r="T1" s="19" t="s">
        <v>38</v>
      </c>
      <c r="U1" s="19" t="s">
        <v>39</v>
      </c>
      <c r="V1" s="19" t="s">
        <v>106</v>
      </c>
      <c r="W1" s="19" t="s">
        <v>107</v>
      </c>
      <c r="X1" s="19" t="s">
        <v>108</v>
      </c>
      <c r="Y1" s="19" t="s">
        <v>109</v>
      </c>
      <c r="Z1" s="19" t="s">
        <v>110</v>
      </c>
      <c r="AA1" s="19" t="s">
        <v>111</v>
      </c>
      <c r="AB1" s="19" t="s">
        <v>112</v>
      </c>
      <c r="AC1" s="19" t="s">
        <v>113</v>
      </c>
      <c r="AD1" s="19" t="s">
        <v>114</v>
      </c>
      <c r="AE1" s="19" t="s">
        <v>115</v>
      </c>
      <c r="AF1" s="19" t="s">
        <v>116</v>
      </c>
      <c r="AG1" s="19" t="s">
        <v>117</v>
      </c>
      <c r="AH1" s="19" t="s">
        <v>118</v>
      </c>
      <c r="AI1" s="19" t="s">
        <v>119</v>
      </c>
      <c r="AJ1" s="19" t="s">
        <v>120</v>
      </c>
      <c r="AK1" s="19" t="s">
        <v>121</v>
      </c>
      <c r="AL1" s="19" t="s">
        <v>122</v>
      </c>
      <c r="AM1" s="19" t="s">
        <v>123</v>
      </c>
      <c r="AN1" s="19" t="s">
        <v>124</v>
      </c>
      <c r="AO1" s="19" t="s">
        <v>125</v>
      </c>
      <c r="AP1" s="19"/>
      <c r="AQ1" s="19"/>
      <c r="AR1" s="19"/>
      <c r="AS1" s="19"/>
      <c r="AT1" s="19"/>
    </row>
    <row r="2" spans="1:46" ht="21" x14ac:dyDescent="0.2">
      <c r="A2" s="16" t="s">
        <v>20</v>
      </c>
      <c r="B2" s="4">
        <v>1800</v>
      </c>
      <c r="C2" s="4">
        <v>740</v>
      </c>
      <c r="D2" s="4">
        <v>740</v>
      </c>
      <c r="E2" s="4">
        <v>740</v>
      </c>
      <c r="F2" s="4">
        <v>740</v>
      </c>
      <c r="G2" s="4">
        <v>740</v>
      </c>
      <c r="H2" s="4">
        <v>740</v>
      </c>
      <c r="I2" s="4">
        <v>740</v>
      </c>
      <c r="J2" s="4">
        <v>740</v>
      </c>
      <c r="K2" s="4">
        <v>0</v>
      </c>
      <c r="L2" s="4">
        <v>0</v>
      </c>
      <c r="M2" s="4">
        <v>0</v>
      </c>
      <c r="N2" s="4">
        <v>0</v>
      </c>
      <c r="O2" s="4">
        <v>0</v>
      </c>
      <c r="P2" s="4">
        <v>0</v>
      </c>
      <c r="Q2" s="4">
        <v>0</v>
      </c>
      <c r="R2" s="4">
        <v>0</v>
      </c>
      <c r="S2" s="4">
        <v>0</v>
      </c>
      <c r="T2" s="4">
        <v>0</v>
      </c>
      <c r="U2" s="4">
        <v>0</v>
      </c>
      <c r="V2" s="4">
        <v>0</v>
      </c>
      <c r="W2" s="4">
        <v>0</v>
      </c>
      <c r="X2" s="4">
        <v>0</v>
      </c>
      <c r="Y2" s="4">
        <v>0</v>
      </c>
      <c r="Z2" s="4">
        <v>0</v>
      </c>
      <c r="AA2" s="4">
        <v>0</v>
      </c>
      <c r="AB2" s="4">
        <v>0</v>
      </c>
      <c r="AC2" s="4">
        <v>0</v>
      </c>
      <c r="AD2" s="4">
        <v>0</v>
      </c>
      <c r="AE2" s="4">
        <v>0</v>
      </c>
      <c r="AF2" s="4">
        <v>0</v>
      </c>
      <c r="AG2" s="4">
        <v>0</v>
      </c>
      <c r="AH2" s="4">
        <v>0</v>
      </c>
      <c r="AI2" s="4">
        <v>0</v>
      </c>
      <c r="AJ2" s="4">
        <v>0</v>
      </c>
      <c r="AK2" s="4">
        <v>0</v>
      </c>
      <c r="AL2" s="4">
        <v>0</v>
      </c>
      <c r="AM2" s="4">
        <v>0</v>
      </c>
      <c r="AN2" s="4">
        <v>0</v>
      </c>
      <c r="AO2" s="4">
        <v>0</v>
      </c>
      <c r="AP2" s="4"/>
      <c r="AQ2" s="4"/>
      <c r="AR2" s="4"/>
      <c r="AS2" s="4"/>
      <c r="AT2" s="4"/>
    </row>
    <row r="3" spans="1:46" ht="21" x14ac:dyDescent="0.2">
      <c r="A3" s="8" t="s">
        <v>21</v>
      </c>
      <c r="B3" s="5">
        <v>1045</v>
      </c>
      <c r="C3" s="5">
        <v>1850</v>
      </c>
      <c r="D3" s="5">
        <v>1850</v>
      </c>
      <c r="E3" s="5">
        <v>1850</v>
      </c>
      <c r="F3" s="5">
        <v>1850</v>
      </c>
      <c r="G3" s="5">
        <v>1850</v>
      </c>
      <c r="H3" s="5">
        <v>1700</v>
      </c>
      <c r="I3" s="5">
        <v>1700</v>
      </c>
      <c r="J3" s="5">
        <v>1700</v>
      </c>
      <c r="K3" s="5">
        <v>0</v>
      </c>
      <c r="L3" s="5">
        <v>0</v>
      </c>
      <c r="M3" s="5">
        <v>0</v>
      </c>
      <c r="N3" s="5">
        <v>0</v>
      </c>
      <c r="O3" s="5">
        <v>0</v>
      </c>
      <c r="P3" s="5">
        <v>0</v>
      </c>
      <c r="Q3" s="5">
        <v>0</v>
      </c>
      <c r="R3" s="5">
        <v>0</v>
      </c>
      <c r="S3" s="5">
        <v>0</v>
      </c>
      <c r="T3" s="5">
        <v>0</v>
      </c>
      <c r="U3" s="5">
        <v>0</v>
      </c>
      <c r="V3" s="5">
        <v>0</v>
      </c>
      <c r="W3" s="5">
        <v>0</v>
      </c>
      <c r="X3" s="5">
        <v>0</v>
      </c>
      <c r="Y3" s="5">
        <v>0</v>
      </c>
      <c r="Z3" s="5">
        <v>0</v>
      </c>
      <c r="AA3" s="5">
        <v>0</v>
      </c>
      <c r="AB3" s="5">
        <v>0</v>
      </c>
      <c r="AC3" s="5">
        <v>0</v>
      </c>
      <c r="AD3" s="5">
        <v>0</v>
      </c>
      <c r="AE3" s="5">
        <v>0</v>
      </c>
      <c r="AF3" s="5">
        <v>0</v>
      </c>
      <c r="AG3" s="5">
        <v>0</v>
      </c>
      <c r="AH3" s="5">
        <v>0</v>
      </c>
      <c r="AI3" s="5">
        <v>0</v>
      </c>
      <c r="AJ3" s="5">
        <v>0</v>
      </c>
      <c r="AK3" s="5">
        <v>0</v>
      </c>
      <c r="AL3" s="5">
        <v>0</v>
      </c>
      <c r="AM3" s="5">
        <v>0</v>
      </c>
      <c r="AN3" s="5">
        <v>0</v>
      </c>
      <c r="AO3" s="5">
        <v>0</v>
      </c>
      <c r="AP3" s="5"/>
      <c r="AQ3" s="5"/>
      <c r="AR3" s="5"/>
      <c r="AS3" s="5"/>
      <c r="AT3" s="5"/>
    </row>
    <row r="4" spans="1:46" ht="21" x14ac:dyDescent="0.2">
      <c r="A4" s="8" t="s">
        <v>22</v>
      </c>
      <c r="B4" s="6">
        <v>6.5</v>
      </c>
      <c r="C4" s="6">
        <v>3</v>
      </c>
      <c r="D4" s="6">
        <v>3</v>
      </c>
      <c r="E4" s="6">
        <v>3</v>
      </c>
      <c r="F4" s="6">
        <v>3</v>
      </c>
      <c r="G4" s="6">
        <v>3</v>
      </c>
      <c r="H4" s="6">
        <v>3</v>
      </c>
      <c r="I4" s="6">
        <v>3</v>
      </c>
      <c r="J4" s="6">
        <v>3</v>
      </c>
      <c r="K4" s="6">
        <v>0</v>
      </c>
      <c r="L4" s="6">
        <v>10</v>
      </c>
      <c r="M4" s="6">
        <v>10</v>
      </c>
      <c r="N4" s="6">
        <v>10</v>
      </c>
      <c r="O4" s="6">
        <v>10</v>
      </c>
      <c r="P4" s="6">
        <v>10</v>
      </c>
      <c r="Q4" s="6">
        <v>10</v>
      </c>
      <c r="R4" s="6">
        <v>10</v>
      </c>
      <c r="S4" s="6">
        <v>10</v>
      </c>
      <c r="T4" s="6">
        <v>10</v>
      </c>
      <c r="U4" s="6">
        <v>10</v>
      </c>
      <c r="V4" s="6">
        <v>10</v>
      </c>
      <c r="W4" s="6">
        <v>10</v>
      </c>
      <c r="X4" s="6">
        <v>10</v>
      </c>
      <c r="Y4" s="6">
        <v>10</v>
      </c>
      <c r="Z4" s="6">
        <v>10</v>
      </c>
      <c r="AA4" s="6">
        <v>10</v>
      </c>
      <c r="AB4" s="6">
        <v>10</v>
      </c>
      <c r="AC4" s="6">
        <v>10</v>
      </c>
      <c r="AD4" s="6">
        <v>10</v>
      </c>
      <c r="AE4" s="6">
        <v>10</v>
      </c>
      <c r="AF4" s="6">
        <v>10</v>
      </c>
      <c r="AG4" s="6">
        <v>10</v>
      </c>
      <c r="AH4" s="6">
        <v>10</v>
      </c>
      <c r="AI4" s="6">
        <v>10</v>
      </c>
      <c r="AJ4" s="6">
        <v>10</v>
      </c>
      <c r="AK4" s="6">
        <v>10</v>
      </c>
      <c r="AL4" s="6">
        <v>10</v>
      </c>
      <c r="AM4" s="6">
        <v>10</v>
      </c>
      <c r="AN4" s="6">
        <v>10</v>
      </c>
      <c r="AO4" s="6">
        <v>10</v>
      </c>
      <c r="AP4" s="6"/>
      <c r="AQ4" s="6"/>
      <c r="AR4" s="6"/>
      <c r="AS4" s="6"/>
      <c r="AT4" s="6"/>
    </row>
    <row r="5" spans="1:46" ht="21" x14ac:dyDescent="0.2">
      <c r="A5" s="8" t="s">
        <v>23</v>
      </c>
      <c r="B5" s="7">
        <v>65</v>
      </c>
      <c r="C5" s="7">
        <v>65</v>
      </c>
      <c r="D5" s="7">
        <v>65</v>
      </c>
      <c r="E5" s="7">
        <v>65</v>
      </c>
      <c r="F5" s="7">
        <v>65</v>
      </c>
      <c r="G5" s="7">
        <v>65</v>
      </c>
      <c r="H5" s="7">
        <v>65</v>
      </c>
      <c r="I5" s="7">
        <v>65</v>
      </c>
      <c r="J5" s="7">
        <v>65</v>
      </c>
      <c r="K5" s="7">
        <v>65</v>
      </c>
      <c r="L5" s="7">
        <v>65</v>
      </c>
      <c r="M5" s="7">
        <v>65</v>
      </c>
      <c r="N5" s="7">
        <v>65</v>
      </c>
      <c r="O5" s="7">
        <v>65</v>
      </c>
      <c r="P5" s="7">
        <v>65</v>
      </c>
      <c r="Q5" s="7">
        <v>65</v>
      </c>
      <c r="R5" s="7">
        <v>65</v>
      </c>
      <c r="S5" s="7">
        <v>65</v>
      </c>
      <c r="T5" s="7">
        <v>65</v>
      </c>
      <c r="U5" s="7">
        <v>65</v>
      </c>
      <c r="V5" s="7">
        <v>65</v>
      </c>
      <c r="W5" s="7">
        <v>65</v>
      </c>
      <c r="X5" s="7">
        <v>65</v>
      </c>
      <c r="Y5" s="7">
        <v>65</v>
      </c>
      <c r="Z5" s="7">
        <v>65</v>
      </c>
      <c r="AA5" s="7">
        <v>65</v>
      </c>
      <c r="AB5" s="7">
        <v>65</v>
      </c>
      <c r="AC5" s="7">
        <v>65</v>
      </c>
      <c r="AD5" s="7">
        <v>65</v>
      </c>
      <c r="AE5" s="7">
        <v>65</v>
      </c>
      <c r="AF5" s="7">
        <v>65</v>
      </c>
      <c r="AG5" s="7">
        <v>65</v>
      </c>
      <c r="AH5" s="7">
        <v>65</v>
      </c>
      <c r="AI5" s="7">
        <v>65</v>
      </c>
      <c r="AJ5" s="7">
        <v>65</v>
      </c>
      <c r="AK5" s="7">
        <v>65</v>
      </c>
      <c r="AL5" s="7">
        <v>65</v>
      </c>
      <c r="AM5" s="7">
        <v>65</v>
      </c>
      <c r="AN5" s="7">
        <v>65</v>
      </c>
      <c r="AO5" s="7">
        <v>65</v>
      </c>
      <c r="AP5" s="7"/>
      <c r="AQ5" s="7"/>
      <c r="AR5" s="7"/>
      <c r="AS5" s="7"/>
      <c r="AT5" s="7"/>
    </row>
    <row r="6" spans="1:46" ht="21" x14ac:dyDescent="0.2">
      <c r="A6" s="8"/>
      <c r="B6" s="9">
        <f>B2/(B5+B4)</f>
        <v>25.174825174825173</v>
      </c>
      <c r="C6" s="9">
        <f t="shared" ref="C6" si="0">C2/(C5+C4)</f>
        <v>10.882352941176471</v>
      </c>
      <c r="D6" s="9">
        <f t="shared" ref="D6:U6" si="1">D2/(D5+D4)</f>
        <v>10.882352941176471</v>
      </c>
      <c r="E6" s="9">
        <f t="shared" si="1"/>
        <v>10.882352941176471</v>
      </c>
      <c r="F6" s="9">
        <f t="shared" si="1"/>
        <v>10.882352941176471</v>
      </c>
      <c r="G6" s="9">
        <f t="shared" si="1"/>
        <v>10.882352941176471</v>
      </c>
      <c r="H6" s="9">
        <f>H2/(H5+H4)</f>
        <v>10.882352941176471</v>
      </c>
      <c r="I6" s="9">
        <f t="shared" si="1"/>
        <v>10.882352941176471</v>
      </c>
      <c r="J6" s="9">
        <f t="shared" si="1"/>
        <v>10.882352941176471</v>
      </c>
      <c r="K6" s="9">
        <f t="shared" si="1"/>
        <v>0</v>
      </c>
      <c r="L6" s="9">
        <f t="shared" si="1"/>
        <v>0</v>
      </c>
      <c r="M6" s="9">
        <f t="shared" si="1"/>
        <v>0</v>
      </c>
      <c r="N6" s="9">
        <f t="shared" si="1"/>
        <v>0</v>
      </c>
      <c r="O6" s="9">
        <f t="shared" si="1"/>
        <v>0</v>
      </c>
      <c r="P6" s="9">
        <f t="shared" si="1"/>
        <v>0</v>
      </c>
      <c r="Q6" s="9">
        <f t="shared" si="1"/>
        <v>0</v>
      </c>
      <c r="R6" s="9">
        <f t="shared" si="1"/>
        <v>0</v>
      </c>
      <c r="S6" s="9">
        <f t="shared" si="1"/>
        <v>0</v>
      </c>
      <c r="T6" s="9">
        <f t="shared" si="1"/>
        <v>0</v>
      </c>
      <c r="U6" s="9">
        <f t="shared" si="1"/>
        <v>0</v>
      </c>
      <c r="V6" s="9">
        <f t="shared" ref="V6:AH6" si="2">V2/(V5+V4)</f>
        <v>0</v>
      </c>
      <c r="W6" s="9">
        <f t="shared" si="2"/>
        <v>0</v>
      </c>
      <c r="X6" s="9">
        <f t="shared" si="2"/>
        <v>0</v>
      </c>
      <c r="Y6" s="9">
        <f t="shared" si="2"/>
        <v>0</v>
      </c>
      <c r="Z6" s="9">
        <f t="shared" si="2"/>
        <v>0</v>
      </c>
      <c r="AA6" s="9">
        <f t="shared" si="2"/>
        <v>0</v>
      </c>
      <c r="AB6" s="9">
        <f t="shared" si="2"/>
        <v>0</v>
      </c>
      <c r="AC6" s="9">
        <f t="shared" si="2"/>
        <v>0</v>
      </c>
      <c r="AD6" s="9">
        <f t="shared" si="2"/>
        <v>0</v>
      </c>
      <c r="AE6" s="9">
        <f t="shared" si="2"/>
        <v>0</v>
      </c>
      <c r="AF6" s="9">
        <f t="shared" si="2"/>
        <v>0</v>
      </c>
      <c r="AG6" s="9">
        <f t="shared" si="2"/>
        <v>0</v>
      </c>
      <c r="AH6" s="9">
        <f t="shared" si="2"/>
        <v>0</v>
      </c>
      <c r="AI6" s="9">
        <f t="shared" ref="AI6:AO6" si="3">AI2/(AI5+AI4)</f>
        <v>0</v>
      </c>
      <c r="AJ6" s="9">
        <f t="shared" si="3"/>
        <v>0</v>
      </c>
      <c r="AK6" s="9">
        <f t="shared" si="3"/>
        <v>0</v>
      </c>
      <c r="AL6" s="9">
        <f t="shared" si="3"/>
        <v>0</v>
      </c>
      <c r="AM6" s="9">
        <f t="shared" si="3"/>
        <v>0</v>
      </c>
      <c r="AN6" s="9">
        <f t="shared" si="3"/>
        <v>0</v>
      </c>
      <c r="AO6" s="9">
        <f t="shared" si="3"/>
        <v>0</v>
      </c>
      <c r="AP6" s="9"/>
      <c r="AQ6" s="9"/>
      <c r="AR6" s="9"/>
      <c r="AS6" s="9"/>
      <c r="AT6" s="9"/>
    </row>
    <row r="7" spans="1:46" ht="42" x14ac:dyDescent="0.2">
      <c r="A7" s="11" t="s">
        <v>24</v>
      </c>
      <c r="B7" s="12">
        <f>ROUNDUP(B6,0)</f>
        <v>26</v>
      </c>
      <c r="C7" s="12">
        <f t="shared" ref="C7:L7" si="4">ROUNDUP(C6,0)</f>
        <v>11</v>
      </c>
      <c r="D7" s="12">
        <f t="shared" si="4"/>
        <v>11</v>
      </c>
      <c r="E7" s="12">
        <f t="shared" si="4"/>
        <v>11</v>
      </c>
      <c r="F7" s="12">
        <f t="shared" si="4"/>
        <v>11</v>
      </c>
      <c r="G7" s="12">
        <f t="shared" si="4"/>
        <v>11</v>
      </c>
      <c r="H7" s="12">
        <f t="shared" si="4"/>
        <v>11</v>
      </c>
      <c r="I7" s="12">
        <f t="shared" si="4"/>
        <v>11</v>
      </c>
      <c r="J7" s="12">
        <f t="shared" si="4"/>
        <v>11</v>
      </c>
      <c r="K7" s="12">
        <f t="shared" si="4"/>
        <v>0</v>
      </c>
      <c r="L7" s="12">
        <f t="shared" si="4"/>
        <v>0</v>
      </c>
      <c r="M7" s="12">
        <f t="shared" ref="M7:U7" si="5">ROUNDDOWN(M6,0)</f>
        <v>0</v>
      </c>
      <c r="N7" s="12">
        <f t="shared" si="5"/>
        <v>0</v>
      </c>
      <c r="O7" s="12">
        <f t="shared" si="5"/>
        <v>0</v>
      </c>
      <c r="P7" s="12">
        <f t="shared" si="5"/>
        <v>0</v>
      </c>
      <c r="Q7" s="12">
        <f t="shared" si="5"/>
        <v>0</v>
      </c>
      <c r="R7" s="12">
        <f t="shared" si="5"/>
        <v>0</v>
      </c>
      <c r="S7" s="12">
        <f t="shared" si="5"/>
        <v>0</v>
      </c>
      <c r="T7" s="12">
        <f t="shared" si="5"/>
        <v>0</v>
      </c>
      <c r="U7" s="12">
        <f t="shared" si="5"/>
        <v>0</v>
      </c>
      <c r="V7" s="12">
        <f t="shared" ref="V7:AH7" si="6">ROUNDDOWN(V6,0)</f>
        <v>0</v>
      </c>
      <c r="W7" s="12">
        <f t="shared" si="6"/>
        <v>0</v>
      </c>
      <c r="X7" s="12">
        <f t="shared" si="6"/>
        <v>0</v>
      </c>
      <c r="Y7" s="12">
        <f t="shared" si="6"/>
        <v>0</v>
      </c>
      <c r="Z7" s="12">
        <f t="shared" si="6"/>
        <v>0</v>
      </c>
      <c r="AA7" s="12">
        <f t="shared" si="6"/>
        <v>0</v>
      </c>
      <c r="AB7" s="12">
        <f t="shared" si="6"/>
        <v>0</v>
      </c>
      <c r="AC7" s="12">
        <f t="shared" si="6"/>
        <v>0</v>
      </c>
      <c r="AD7" s="12">
        <f t="shared" si="6"/>
        <v>0</v>
      </c>
      <c r="AE7" s="12">
        <f t="shared" si="6"/>
        <v>0</v>
      </c>
      <c r="AF7" s="12">
        <f t="shared" si="6"/>
        <v>0</v>
      </c>
      <c r="AG7" s="12">
        <f t="shared" si="6"/>
        <v>0</v>
      </c>
      <c r="AH7" s="12">
        <f t="shared" si="6"/>
        <v>0</v>
      </c>
      <c r="AI7" s="12">
        <f t="shared" ref="AI7:AO7" si="7">ROUNDDOWN(AI6,0)</f>
        <v>0</v>
      </c>
      <c r="AJ7" s="12">
        <f t="shared" si="7"/>
        <v>0</v>
      </c>
      <c r="AK7" s="12">
        <f t="shared" si="7"/>
        <v>0</v>
      </c>
      <c r="AL7" s="12">
        <f t="shared" si="7"/>
        <v>0</v>
      </c>
      <c r="AM7" s="12">
        <f t="shared" si="7"/>
        <v>0</v>
      </c>
      <c r="AN7" s="12">
        <f t="shared" si="7"/>
        <v>0</v>
      </c>
      <c r="AO7" s="12">
        <f t="shared" si="7"/>
        <v>0</v>
      </c>
      <c r="AP7" s="12"/>
      <c r="AQ7" s="12"/>
      <c r="AR7" s="12"/>
      <c r="AS7" s="12"/>
      <c r="AT7" s="12"/>
    </row>
    <row r="8" spans="1:46" ht="21.75" thickBot="1" x14ac:dyDescent="0.25">
      <c r="A8" s="13" t="s">
        <v>25</v>
      </c>
      <c r="B8" s="14">
        <f>(B2/B7)-B5</f>
        <v>4.2307692307692264</v>
      </c>
      <c r="C8" s="14">
        <f t="shared" ref="C8" si="8">(C2/C7)-C5</f>
        <v>2.2727272727272663</v>
      </c>
      <c r="D8" s="14">
        <f>(D2/D7)-D5</f>
        <v>2.2727272727272663</v>
      </c>
      <c r="E8" s="14">
        <f t="shared" ref="E8:U8" si="9">(E2/E7)-E5</f>
        <v>2.2727272727272663</v>
      </c>
      <c r="F8" s="14">
        <f t="shared" si="9"/>
        <v>2.2727272727272663</v>
      </c>
      <c r="G8" s="14">
        <f t="shared" si="9"/>
        <v>2.2727272727272663</v>
      </c>
      <c r="H8" s="14">
        <f t="shared" si="9"/>
        <v>2.2727272727272663</v>
      </c>
      <c r="I8" s="14">
        <f t="shared" si="9"/>
        <v>2.2727272727272663</v>
      </c>
      <c r="J8" s="14">
        <f t="shared" si="9"/>
        <v>2.2727272727272663</v>
      </c>
      <c r="K8" s="14" t="e">
        <f t="shared" si="9"/>
        <v>#DIV/0!</v>
      </c>
      <c r="L8" s="14" t="e">
        <f t="shared" si="9"/>
        <v>#DIV/0!</v>
      </c>
      <c r="M8" s="14" t="e">
        <f t="shared" si="9"/>
        <v>#DIV/0!</v>
      </c>
      <c r="N8" s="14" t="e">
        <f t="shared" si="9"/>
        <v>#DIV/0!</v>
      </c>
      <c r="O8" s="14" t="e">
        <f t="shared" si="9"/>
        <v>#DIV/0!</v>
      </c>
      <c r="P8" s="14" t="e">
        <f t="shared" si="9"/>
        <v>#DIV/0!</v>
      </c>
      <c r="Q8" s="14" t="e">
        <f t="shared" si="9"/>
        <v>#DIV/0!</v>
      </c>
      <c r="R8" s="14" t="e">
        <f t="shared" si="9"/>
        <v>#DIV/0!</v>
      </c>
      <c r="S8" s="14" t="e">
        <f t="shared" si="9"/>
        <v>#DIV/0!</v>
      </c>
      <c r="T8" s="14" t="e">
        <f t="shared" si="9"/>
        <v>#DIV/0!</v>
      </c>
      <c r="U8" s="14" t="e">
        <f t="shared" si="9"/>
        <v>#DIV/0!</v>
      </c>
      <c r="V8" s="14" t="e">
        <f t="shared" ref="V8:AH8" si="10">(V2/V7)-V5</f>
        <v>#DIV/0!</v>
      </c>
      <c r="W8" s="14" t="e">
        <f t="shared" si="10"/>
        <v>#DIV/0!</v>
      </c>
      <c r="X8" s="14" t="e">
        <f t="shared" si="10"/>
        <v>#DIV/0!</v>
      </c>
      <c r="Y8" s="14" t="e">
        <f t="shared" si="10"/>
        <v>#DIV/0!</v>
      </c>
      <c r="Z8" s="14" t="e">
        <f t="shared" si="10"/>
        <v>#DIV/0!</v>
      </c>
      <c r="AA8" s="14" t="e">
        <f t="shared" si="10"/>
        <v>#DIV/0!</v>
      </c>
      <c r="AB8" s="14" t="e">
        <f t="shared" si="10"/>
        <v>#DIV/0!</v>
      </c>
      <c r="AC8" s="14" t="e">
        <f t="shared" si="10"/>
        <v>#DIV/0!</v>
      </c>
      <c r="AD8" s="14" t="e">
        <f t="shared" si="10"/>
        <v>#DIV/0!</v>
      </c>
      <c r="AE8" s="14" t="e">
        <f t="shared" si="10"/>
        <v>#DIV/0!</v>
      </c>
      <c r="AF8" s="14" t="e">
        <f t="shared" si="10"/>
        <v>#DIV/0!</v>
      </c>
      <c r="AG8" s="14" t="e">
        <f t="shared" si="10"/>
        <v>#DIV/0!</v>
      </c>
      <c r="AH8" s="14" t="e">
        <f t="shared" si="10"/>
        <v>#DIV/0!</v>
      </c>
      <c r="AI8" s="14" t="e">
        <f t="shared" ref="AI8:AO8" si="11">(AI2/AI7)-AI5</f>
        <v>#DIV/0!</v>
      </c>
      <c r="AJ8" s="14" t="e">
        <f t="shared" si="11"/>
        <v>#DIV/0!</v>
      </c>
      <c r="AK8" s="14" t="e">
        <f t="shared" si="11"/>
        <v>#DIV/0!</v>
      </c>
      <c r="AL8" s="14" t="e">
        <f t="shared" si="11"/>
        <v>#DIV/0!</v>
      </c>
      <c r="AM8" s="14" t="e">
        <f t="shared" si="11"/>
        <v>#DIV/0!</v>
      </c>
      <c r="AN8" s="14" t="e">
        <f t="shared" si="11"/>
        <v>#DIV/0!</v>
      </c>
      <c r="AO8" s="14" t="e">
        <f t="shared" si="11"/>
        <v>#DIV/0!</v>
      </c>
      <c r="AP8" s="14"/>
      <c r="AQ8" s="14"/>
      <c r="AR8" s="14"/>
      <c r="AS8" s="14"/>
      <c r="AT8" s="14"/>
    </row>
    <row r="14" spans="1:46" x14ac:dyDescent="0.2">
      <c r="A14" s="15" t="s">
        <v>27</v>
      </c>
      <c r="B14" s="10">
        <f>'Slat Cuts'!ptrUsed/'Slat Cuts'!ptrStk</f>
        <v>30</v>
      </c>
    </row>
    <row r="15" spans="1:46" x14ac:dyDescent="0.2">
      <c r="A15" s="10" t="s">
        <v>26</v>
      </c>
    </row>
  </sheetData>
  <conditionalFormatting sqref="C1 E1 G1 I1:AT1">
    <cfRule type="containsText" dxfId="2" priority="1" operator="containsText" text="Bay 3 Size">
      <formula>NOT(ISERROR(SEARCH("Bay 3 Size",C1)))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ksInp1"/>
  <dimension ref="A2:I65"/>
  <sheetViews>
    <sheetView zoomScaleNormal="100" workbookViewId="0">
      <pane xSplit="6" ySplit="25" topLeftCell="G26" activePane="bottomRight" state="frozen"/>
      <selection pane="topRight" activeCell="F1" sqref="F1"/>
      <selection pane="bottomLeft" activeCell="A11" sqref="A11"/>
      <selection pane="bottomRight" activeCell="G25" sqref="G25"/>
    </sheetView>
  </sheetViews>
  <sheetFormatPr defaultColWidth="8.6640625" defaultRowHeight="12" x14ac:dyDescent="0.2"/>
  <cols>
    <col min="1" max="1" width="2.6640625" style="20" customWidth="1"/>
    <col min="2" max="2" width="4.6640625" style="20" bestFit="1" customWidth="1"/>
    <col min="3" max="3" width="16.6640625" style="20" customWidth="1"/>
    <col min="4" max="4" width="7.6640625" style="20" customWidth="1"/>
    <col min="5" max="5" width="8.6640625" style="20"/>
    <col min="6" max="6" width="11" style="20" customWidth="1"/>
    <col min="7" max="7" width="8.33203125" bestFit="1" customWidth="1"/>
    <col min="8" max="8" width="5.6640625" bestFit="1" customWidth="1"/>
    <col min="9" max="30" width="6.6640625" bestFit="1" customWidth="1"/>
    <col min="31" max="33" width="6.1640625" bestFit="1" customWidth="1"/>
    <col min="34" max="66" width="3.1640625" bestFit="1" customWidth="1"/>
    <col min="67" max="76" width="5.1640625" bestFit="1" customWidth="1"/>
    <col min="77" max="96" width="4.5" bestFit="1" customWidth="1"/>
    <col min="97" max="97" width="3.5" bestFit="1" customWidth="1"/>
    <col min="98" max="100" width="4.5" bestFit="1" customWidth="1"/>
    <col min="101" max="103" width="3.5" bestFit="1" customWidth="1"/>
    <col min="104" max="157" width="4.5" bestFit="1" customWidth="1"/>
    <col min="158" max="158" width="5.5" bestFit="1" customWidth="1"/>
    <col min="159" max="209" width="4" bestFit="1" customWidth="1"/>
    <col min="210" max="239" width="4.5" bestFit="1" customWidth="1"/>
    <col min="240" max="240" width="5.5" bestFit="1" customWidth="1"/>
  </cols>
  <sheetData>
    <row r="2" spans="3:4" ht="12" customHeight="1" x14ac:dyDescent="0.2">
      <c r="C2" s="41" t="s">
        <v>1</v>
      </c>
      <c r="D2" s="42">
        <v>4</v>
      </c>
    </row>
    <row r="3" spans="3:4" ht="12" customHeight="1" x14ac:dyDescent="0.2">
      <c r="C3" s="41" t="s">
        <v>11</v>
      </c>
      <c r="D3" s="42">
        <v>6500</v>
      </c>
    </row>
    <row r="4" spans="3:4" ht="12" customHeight="1" x14ac:dyDescent="0.2">
      <c r="C4" s="41" t="s">
        <v>6</v>
      </c>
      <c r="D4" s="43">
        <f>SUMPRODUCT(rgnLen, rgnQty)</f>
        <v>15440</v>
      </c>
    </row>
    <row r="5" spans="3:4" ht="12" customHeight="1" x14ac:dyDescent="0.2">
      <c r="C5" s="41" t="s">
        <v>7</v>
      </c>
      <c r="D5" s="43">
        <f>INDEX(24:24, MATCH(conBig,24:24 )) * ptrStk</f>
        <v>19500</v>
      </c>
    </row>
    <row r="6" spans="3:4" ht="12" customHeight="1" x14ac:dyDescent="0.2">
      <c r="C6" s="44" t="s">
        <v>5</v>
      </c>
      <c r="D6" s="45">
        <f>D4/ptrUsed</f>
        <v>0.79179487179487185</v>
      </c>
    </row>
    <row r="7" spans="3:4" ht="12" customHeight="1" x14ac:dyDescent="0.2"/>
    <row r="10" spans="3:4" ht="3" customHeight="1" x14ac:dyDescent="0.2"/>
    <row r="11" spans="3:4" hidden="1" x14ac:dyDescent="0.2"/>
    <row r="12" spans="3:4" hidden="1" x14ac:dyDescent="0.2"/>
    <row r="13" spans="3:4" ht="30.75" hidden="1" customHeight="1" x14ac:dyDescent="0.2"/>
    <row r="14" spans="3:4" hidden="1" x14ac:dyDescent="0.2"/>
    <row r="15" spans="3:4" ht="20.25" hidden="1" customHeight="1" x14ac:dyDescent="0.2"/>
    <row r="16" spans="3:4" hidden="1" x14ac:dyDescent="0.2"/>
    <row r="17" spans="1:9" hidden="1" x14ac:dyDescent="0.2"/>
    <row r="18" spans="1:9" hidden="1" x14ac:dyDescent="0.2">
      <c r="A18" s="21"/>
      <c r="B18" s="21"/>
      <c r="C18" s="21"/>
      <c r="D18" s="21"/>
      <c r="E18" s="21"/>
      <c r="F18" s="21"/>
    </row>
    <row r="19" spans="1:9" hidden="1" x14ac:dyDescent="0.2">
      <c r="A19"/>
      <c r="B19"/>
      <c r="C19"/>
      <c r="D19"/>
      <c r="E19"/>
      <c r="F19"/>
    </row>
    <row r="20" spans="1:9" hidden="1" x14ac:dyDescent="0.2">
      <c r="A20" s="21"/>
      <c r="B20" s="21"/>
      <c r="C20" s="21"/>
      <c r="D20" s="21"/>
      <c r="E20" s="21"/>
      <c r="F20" s="21"/>
    </row>
    <row r="21" spans="1:9" hidden="1" x14ac:dyDescent="0.2">
      <c r="A21" s="21"/>
      <c r="B21" s="21"/>
      <c r="C21" s="21"/>
      <c r="D21" s="21"/>
      <c r="E21" s="21"/>
      <c r="F21" s="21"/>
    </row>
    <row r="22" spans="1:9" hidden="1" x14ac:dyDescent="0.2">
      <c r="A22" s="21"/>
      <c r="B22" s="21"/>
      <c r="C22" s="21"/>
      <c r="D22" s="21"/>
      <c r="E22" s="21"/>
      <c r="F22" s="21"/>
    </row>
    <row r="23" spans="1:9" ht="31.5" customHeight="1" x14ac:dyDescent="0.2">
      <c r="A23" s="21"/>
      <c r="B23" s="21"/>
      <c r="C23" s="21"/>
      <c r="D23" s="21"/>
      <c r="E23" s="21"/>
      <c r="F23" s="21"/>
    </row>
    <row r="24" spans="1:9" ht="28.5" customHeight="1" x14ac:dyDescent="0.2">
      <c r="A24" s="21"/>
      <c r="B24" s="86" t="s">
        <v>4</v>
      </c>
      <c r="C24" s="27"/>
      <c r="D24" s="28" t="s">
        <v>3</v>
      </c>
      <c r="E24" s="29">
        <f>SUM(INDEX(rgnInp, 0, 2))</f>
        <v>80</v>
      </c>
      <c r="F24" s="30" t="s">
        <v>9</v>
      </c>
      <c r="G24" s="2">
        <v>1</v>
      </c>
      <c r="H24" s="2">
        <v>2</v>
      </c>
      <c r="I24" s="2">
        <v>3</v>
      </c>
    </row>
    <row r="25" spans="1:9" ht="25.5" customHeight="1" x14ac:dyDescent="0.2">
      <c r="A25" s="21"/>
      <c r="B25" s="86"/>
      <c r="C25" s="31" t="s">
        <v>10</v>
      </c>
      <c r="D25" s="32" t="s">
        <v>0</v>
      </c>
      <c r="E25" s="32" t="s">
        <v>2</v>
      </c>
      <c r="F25" s="32" t="s">
        <v>8</v>
      </c>
      <c r="G25" s="1" t="e">
        <f>MAX(0, ptrStk - SUMPRODUCT(G26:G65, F26 + ptrKerf))</f>
        <v>#VALUE!</v>
      </c>
      <c r="H25" s="1">
        <f>MAX(0, ptrStk - SUMPRODUCT(H26:H65, rgnLen + ptrKerf))</f>
        <v>548</v>
      </c>
      <c r="I25" s="1">
        <f>MAX(0, ptrStk - SUMPRODUCT(I26:I65, rgnLen + ptrKerf))</f>
        <v>2780</v>
      </c>
    </row>
    <row r="26" spans="1:9" x14ac:dyDescent="0.2">
      <c r="A26" s="21"/>
      <c r="B26" s="33">
        <f>ROWS(B$25:B26)-1</f>
        <v>1</v>
      </c>
      <c r="C26" s="34"/>
      <c r="D26" s="35">
        <f>'Bay Sizes'!B2</f>
        <v>1800</v>
      </c>
      <c r="E26" s="35">
        <v>2</v>
      </c>
      <c r="F26" s="36">
        <f t="shared" ref="F26:F65" si="0">SUM(G26:I26)</f>
        <v>2</v>
      </c>
      <c r="G26" s="3">
        <v>2</v>
      </c>
      <c r="H26" s="3">
        <v>0</v>
      </c>
      <c r="I26" s="3">
        <v>0</v>
      </c>
    </row>
    <row r="27" spans="1:9" ht="11.25" customHeight="1" x14ac:dyDescent="0.2">
      <c r="A27" s="21"/>
      <c r="B27" s="37">
        <f>ROWS(B$25:B27)-1</f>
        <v>2</v>
      </c>
      <c r="C27" s="38"/>
      <c r="D27" s="39">
        <f>'Bay Sizes'!C2</f>
        <v>740</v>
      </c>
      <c r="E27" s="35">
        <v>2</v>
      </c>
      <c r="F27" s="40">
        <f t="shared" si="0"/>
        <v>2</v>
      </c>
      <c r="G27" s="3">
        <v>2</v>
      </c>
      <c r="H27" s="3">
        <v>0</v>
      </c>
      <c r="I27" s="3">
        <v>0</v>
      </c>
    </row>
    <row r="28" spans="1:9" ht="11.25" customHeight="1" x14ac:dyDescent="0.2">
      <c r="A28" s="21"/>
      <c r="B28" s="37">
        <f>ROWS(B$25:B28)-1</f>
        <v>3</v>
      </c>
      <c r="C28" s="38"/>
      <c r="D28" s="39">
        <f>'Bay Sizes'!D2</f>
        <v>740</v>
      </c>
      <c r="E28" s="35">
        <v>2</v>
      </c>
      <c r="F28" s="40">
        <f t="shared" si="0"/>
        <v>2</v>
      </c>
      <c r="G28" s="3">
        <v>1</v>
      </c>
      <c r="H28" s="3">
        <v>1</v>
      </c>
      <c r="I28" s="3">
        <v>0</v>
      </c>
    </row>
    <row r="29" spans="1:9" x14ac:dyDescent="0.2">
      <c r="A29" s="21"/>
      <c r="B29" s="37">
        <f>ROWS(B$25:B29)-1</f>
        <v>4</v>
      </c>
      <c r="C29" s="38"/>
      <c r="D29" s="39">
        <f>'Bay Sizes'!E2</f>
        <v>740</v>
      </c>
      <c r="E29" s="35">
        <v>2</v>
      </c>
      <c r="F29" s="40">
        <f t="shared" si="0"/>
        <v>2</v>
      </c>
      <c r="G29" s="3">
        <v>0</v>
      </c>
      <c r="H29" s="3">
        <v>2</v>
      </c>
      <c r="I29" s="3">
        <v>0</v>
      </c>
    </row>
    <row r="30" spans="1:9" x14ac:dyDescent="0.2">
      <c r="A30" s="21"/>
      <c r="B30" s="37">
        <f>ROWS(B$25:B30)-1</f>
        <v>5</v>
      </c>
      <c r="C30" s="38"/>
      <c r="D30" s="39">
        <f>'Bay Sizes'!F2</f>
        <v>740</v>
      </c>
      <c r="E30" s="35">
        <v>2</v>
      </c>
      <c r="F30" s="40">
        <f t="shared" si="0"/>
        <v>2</v>
      </c>
      <c r="G30" s="3">
        <v>0</v>
      </c>
      <c r="H30" s="3">
        <v>2</v>
      </c>
      <c r="I30" s="3">
        <v>0</v>
      </c>
    </row>
    <row r="31" spans="1:9" x14ac:dyDescent="0.2">
      <c r="A31" s="21"/>
      <c r="B31" s="37">
        <f>ROWS(B$25:B31)-1</f>
        <v>6</v>
      </c>
      <c r="C31" s="38"/>
      <c r="D31" s="39">
        <f>'Bay Sizes'!G2</f>
        <v>740</v>
      </c>
      <c r="E31" s="35">
        <v>2</v>
      </c>
      <c r="F31" s="40">
        <f t="shared" si="0"/>
        <v>2</v>
      </c>
      <c r="G31" s="3">
        <v>0</v>
      </c>
      <c r="H31" s="3">
        <v>2</v>
      </c>
      <c r="I31" s="3">
        <v>0</v>
      </c>
    </row>
    <row r="32" spans="1:9" x14ac:dyDescent="0.2">
      <c r="A32" s="21"/>
      <c r="B32" s="37">
        <f>ROWS(B$25:B32)-1</f>
        <v>7</v>
      </c>
      <c r="C32" s="38"/>
      <c r="D32" s="39">
        <f>'Bay Sizes'!H2</f>
        <v>740</v>
      </c>
      <c r="E32" s="35">
        <v>2</v>
      </c>
      <c r="F32" s="40">
        <f t="shared" si="0"/>
        <v>2</v>
      </c>
      <c r="G32" s="3">
        <v>0</v>
      </c>
      <c r="H32" s="3">
        <v>1</v>
      </c>
      <c r="I32" s="3">
        <v>1</v>
      </c>
    </row>
    <row r="33" spans="1:9" x14ac:dyDescent="0.2">
      <c r="A33" s="21"/>
      <c r="B33" s="37">
        <f>ROWS(B$25:B33)-1</f>
        <v>8</v>
      </c>
      <c r="C33" s="38"/>
      <c r="D33" s="39">
        <f>'Bay Sizes'!I2</f>
        <v>740</v>
      </c>
      <c r="E33" s="35">
        <v>2</v>
      </c>
      <c r="F33" s="40">
        <f t="shared" si="0"/>
        <v>2</v>
      </c>
      <c r="G33" s="3">
        <v>0</v>
      </c>
      <c r="H33" s="3">
        <v>0</v>
      </c>
      <c r="I33" s="3">
        <v>2</v>
      </c>
    </row>
    <row r="34" spans="1:9" ht="12.75" customHeight="1" x14ac:dyDescent="0.2">
      <c r="A34" s="21"/>
      <c r="B34" s="37">
        <f>ROWS(B$25:B34)-1</f>
        <v>9</v>
      </c>
      <c r="C34" s="38"/>
      <c r="D34" s="39">
        <f>'Bay Sizes'!J2</f>
        <v>740</v>
      </c>
      <c r="E34" s="35">
        <v>2</v>
      </c>
      <c r="F34" s="40">
        <f t="shared" si="0"/>
        <v>2</v>
      </c>
      <c r="G34" s="3">
        <v>0</v>
      </c>
      <c r="H34" s="3">
        <v>0</v>
      </c>
      <c r="I34" s="3">
        <v>2</v>
      </c>
    </row>
    <row r="35" spans="1:9" x14ac:dyDescent="0.2">
      <c r="A35" s="21"/>
      <c r="B35" s="37">
        <f>ROWS(B$25:B35)-1</f>
        <v>10</v>
      </c>
      <c r="C35" s="38"/>
      <c r="D35" s="39">
        <f>'Bay Sizes'!K2</f>
        <v>0</v>
      </c>
      <c r="E35" s="35">
        <v>2</v>
      </c>
      <c r="F35" s="40">
        <f t="shared" si="0"/>
        <v>2</v>
      </c>
      <c r="G35" s="3">
        <v>2</v>
      </c>
      <c r="H35" s="3">
        <v>0</v>
      </c>
      <c r="I35" s="3">
        <v>0</v>
      </c>
    </row>
    <row r="36" spans="1:9" ht="12.75" customHeight="1" x14ac:dyDescent="0.2">
      <c r="A36" s="21"/>
      <c r="B36" s="37">
        <f>ROWS(B$25:B36)-1</f>
        <v>11</v>
      </c>
      <c r="C36" s="38"/>
      <c r="D36" s="39">
        <f>'Bay Sizes'!L2</f>
        <v>0</v>
      </c>
      <c r="E36" s="35">
        <v>2</v>
      </c>
      <c r="F36" s="40">
        <f t="shared" si="0"/>
        <v>2</v>
      </c>
      <c r="G36" s="3">
        <v>2</v>
      </c>
      <c r="H36" s="3">
        <v>0</v>
      </c>
      <c r="I36" s="3">
        <v>0</v>
      </c>
    </row>
    <row r="37" spans="1:9" x14ac:dyDescent="0.2">
      <c r="A37" s="21"/>
      <c r="B37" s="37">
        <f>ROWS(B$25:B37)-1</f>
        <v>12</v>
      </c>
      <c r="C37" s="38"/>
      <c r="D37" s="39">
        <f>'Bay Sizes'!M2</f>
        <v>0</v>
      </c>
      <c r="E37" s="35">
        <v>2</v>
      </c>
      <c r="F37" s="40">
        <f t="shared" si="0"/>
        <v>2</v>
      </c>
      <c r="G37" s="3">
        <v>2</v>
      </c>
      <c r="H37" s="3">
        <v>0</v>
      </c>
      <c r="I37" s="3">
        <v>0</v>
      </c>
    </row>
    <row r="38" spans="1:9" x14ac:dyDescent="0.2">
      <c r="A38" s="21"/>
      <c r="B38" s="37">
        <f>ROWS(B$25:B38)-1</f>
        <v>13</v>
      </c>
      <c r="C38" s="38"/>
      <c r="D38" s="39">
        <f>'Bay Sizes'!N2</f>
        <v>0</v>
      </c>
      <c r="E38" s="35">
        <v>2</v>
      </c>
      <c r="F38" s="40">
        <f t="shared" si="0"/>
        <v>2</v>
      </c>
      <c r="G38" s="3">
        <v>2</v>
      </c>
      <c r="H38" s="3">
        <v>0</v>
      </c>
      <c r="I38" s="3">
        <v>0</v>
      </c>
    </row>
    <row r="39" spans="1:9" x14ac:dyDescent="0.2">
      <c r="A39" s="21"/>
      <c r="B39" s="37">
        <f>ROWS(B$25:B39)-1</f>
        <v>14</v>
      </c>
      <c r="C39" s="38"/>
      <c r="D39" s="39">
        <f>'Bay Sizes'!O2</f>
        <v>0</v>
      </c>
      <c r="E39" s="35">
        <v>2</v>
      </c>
      <c r="F39" s="40">
        <f t="shared" si="0"/>
        <v>2</v>
      </c>
      <c r="G39" s="3">
        <v>2</v>
      </c>
      <c r="H39" s="3">
        <v>0</v>
      </c>
      <c r="I39" s="3">
        <v>0</v>
      </c>
    </row>
    <row r="40" spans="1:9" x14ac:dyDescent="0.2">
      <c r="A40" s="21"/>
      <c r="B40" s="37">
        <f>ROWS(B$25:B40)-1</f>
        <v>15</v>
      </c>
      <c r="C40" s="38"/>
      <c r="D40" s="39">
        <f>'Bay Sizes'!P2</f>
        <v>0</v>
      </c>
      <c r="E40" s="35">
        <v>2</v>
      </c>
      <c r="F40" s="40">
        <f t="shared" si="0"/>
        <v>2</v>
      </c>
      <c r="G40" s="3">
        <v>2</v>
      </c>
      <c r="H40" s="3">
        <v>0</v>
      </c>
      <c r="I40" s="3">
        <v>0</v>
      </c>
    </row>
    <row r="41" spans="1:9" x14ac:dyDescent="0.2">
      <c r="A41" s="21"/>
      <c r="B41" s="37">
        <f>ROWS(B$25:B41)-1</f>
        <v>16</v>
      </c>
      <c r="C41" s="38"/>
      <c r="D41" s="39">
        <f>'Bay Sizes'!Q2</f>
        <v>0</v>
      </c>
      <c r="E41" s="35">
        <v>2</v>
      </c>
      <c r="F41" s="40">
        <f t="shared" si="0"/>
        <v>2</v>
      </c>
      <c r="G41" s="3">
        <v>2</v>
      </c>
      <c r="H41" s="3">
        <v>0</v>
      </c>
      <c r="I41" s="3">
        <v>0</v>
      </c>
    </row>
    <row r="42" spans="1:9" x14ac:dyDescent="0.2">
      <c r="A42" s="21"/>
      <c r="B42" s="37">
        <f>ROWS(B$25:B42)-1</f>
        <v>17</v>
      </c>
      <c r="C42" s="38"/>
      <c r="D42" s="39">
        <f>'Bay Sizes'!R2</f>
        <v>0</v>
      </c>
      <c r="E42" s="35">
        <v>2</v>
      </c>
      <c r="F42" s="40">
        <f t="shared" si="0"/>
        <v>2</v>
      </c>
      <c r="G42" s="3">
        <v>2</v>
      </c>
      <c r="H42" s="3">
        <v>0</v>
      </c>
      <c r="I42" s="3">
        <v>0</v>
      </c>
    </row>
    <row r="43" spans="1:9" x14ac:dyDescent="0.2">
      <c r="A43" s="21"/>
      <c r="B43" s="37">
        <f>ROWS(B$25:B43)-1</f>
        <v>18</v>
      </c>
      <c r="C43" s="38"/>
      <c r="D43" s="39">
        <f>'Bay Sizes'!S2</f>
        <v>0</v>
      </c>
      <c r="E43" s="35">
        <v>2</v>
      </c>
      <c r="F43" s="40">
        <f t="shared" si="0"/>
        <v>2</v>
      </c>
      <c r="G43" s="3">
        <v>2</v>
      </c>
      <c r="H43" s="3">
        <v>0</v>
      </c>
      <c r="I43" s="3">
        <v>0</v>
      </c>
    </row>
    <row r="44" spans="1:9" x14ac:dyDescent="0.2">
      <c r="A44" s="21"/>
      <c r="B44" s="37">
        <f>ROWS(B$25:B44)-1</f>
        <v>19</v>
      </c>
      <c r="C44" s="38"/>
      <c r="D44" s="39">
        <f>'Bay Sizes'!T2</f>
        <v>0</v>
      </c>
      <c r="E44" s="35">
        <v>2</v>
      </c>
      <c r="F44" s="40">
        <f t="shared" si="0"/>
        <v>2</v>
      </c>
      <c r="G44" s="3">
        <v>2</v>
      </c>
      <c r="H44" s="3">
        <v>0</v>
      </c>
      <c r="I44" s="3">
        <v>0</v>
      </c>
    </row>
    <row r="45" spans="1:9" x14ac:dyDescent="0.2">
      <c r="A45" s="21"/>
      <c r="B45" s="37">
        <f>ROWS(B$25:B45)-1</f>
        <v>20</v>
      </c>
      <c r="C45" s="38"/>
      <c r="D45" s="39">
        <f>'Bay Sizes'!U2</f>
        <v>0</v>
      </c>
      <c r="E45" s="35">
        <v>2</v>
      </c>
      <c r="F45" s="40">
        <f t="shared" si="0"/>
        <v>2</v>
      </c>
      <c r="G45" s="3">
        <v>2</v>
      </c>
      <c r="H45" s="3">
        <v>0</v>
      </c>
      <c r="I45" s="3">
        <v>0</v>
      </c>
    </row>
    <row r="46" spans="1:9" x14ac:dyDescent="0.2">
      <c r="A46" s="21"/>
      <c r="B46" s="37">
        <f>ROWS(B$25:B46)-1</f>
        <v>21</v>
      </c>
      <c r="C46" s="38"/>
      <c r="D46" s="39">
        <f>'Bay Sizes'!V2</f>
        <v>0</v>
      </c>
      <c r="E46" s="35">
        <v>2</v>
      </c>
      <c r="F46" s="40">
        <f t="shared" si="0"/>
        <v>2</v>
      </c>
      <c r="G46" s="3">
        <v>2</v>
      </c>
      <c r="H46" s="3">
        <v>0</v>
      </c>
      <c r="I46" s="3">
        <v>0</v>
      </c>
    </row>
    <row r="47" spans="1:9" x14ac:dyDescent="0.2">
      <c r="A47" s="21"/>
      <c r="B47" s="37">
        <f>ROWS(B$25:B47)-1</f>
        <v>22</v>
      </c>
      <c r="C47" s="38"/>
      <c r="D47" s="39">
        <f>'Bay Sizes'!W2</f>
        <v>0</v>
      </c>
      <c r="E47" s="35">
        <v>2</v>
      </c>
      <c r="F47" s="40">
        <f t="shared" si="0"/>
        <v>2</v>
      </c>
      <c r="G47" s="3">
        <v>2</v>
      </c>
      <c r="H47" s="3">
        <v>0</v>
      </c>
      <c r="I47" s="3">
        <v>0</v>
      </c>
    </row>
    <row r="48" spans="1:9" x14ac:dyDescent="0.2">
      <c r="A48" s="21"/>
      <c r="B48" s="37">
        <f>ROWS(B$25:B48)-1</f>
        <v>23</v>
      </c>
      <c r="C48" s="38"/>
      <c r="D48" s="39">
        <f>'Bay Sizes'!X2</f>
        <v>0</v>
      </c>
      <c r="E48" s="35">
        <v>2</v>
      </c>
      <c r="F48" s="40">
        <f t="shared" si="0"/>
        <v>2</v>
      </c>
      <c r="G48" s="3">
        <v>2</v>
      </c>
      <c r="H48" s="3">
        <v>0</v>
      </c>
      <c r="I48" s="3">
        <v>0</v>
      </c>
    </row>
    <row r="49" spans="1:9" x14ac:dyDescent="0.2">
      <c r="A49" s="21"/>
      <c r="B49" s="37">
        <f>ROWS(B$25:B49)-1</f>
        <v>24</v>
      </c>
      <c r="C49" s="38"/>
      <c r="D49" s="39">
        <f>'Bay Sizes'!Y2</f>
        <v>0</v>
      </c>
      <c r="E49" s="35">
        <v>2</v>
      </c>
      <c r="F49" s="40">
        <f t="shared" si="0"/>
        <v>2</v>
      </c>
      <c r="G49" s="3">
        <v>2</v>
      </c>
      <c r="H49" s="3">
        <v>0</v>
      </c>
      <c r="I49" s="3">
        <v>0</v>
      </c>
    </row>
    <row r="50" spans="1:9" x14ac:dyDescent="0.2">
      <c r="B50" s="37">
        <f>ROWS(B$25:B50)-1</f>
        <v>25</v>
      </c>
      <c r="C50" s="38"/>
      <c r="D50" s="39">
        <f>'Bay Sizes'!Z2</f>
        <v>0</v>
      </c>
      <c r="E50" s="35">
        <v>2</v>
      </c>
      <c r="F50" s="40">
        <f t="shared" si="0"/>
        <v>2</v>
      </c>
      <c r="G50" s="3">
        <v>2</v>
      </c>
      <c r="H50" s="3">
        <v>0</v>
      </c>
      <c r="I50" s="3">
        <v>0</v>
      </c>
    </row>
    <row r="51" spans="1:9" x14ac:dyDescent="0.2">
      <c r="B51" s="37">
        <f>ROWS(B$25:B51)-1</f>
        <v>26</v>
      </c>
      <c r="C51" s="38"/>
      <c r="D51" s="39">
        <f>'Bay Sizes'!AA2</f>
        <v>0</v>
      </c>
      <c r="E51" s="35">
        <v>2</v>
      </c>
      <c r="F51" s="40">
        <f t="shared" si="0"/>
        <v>2</v>
      </c>
      <c r="G51" s="3">
        <v>2</v>
      </c>
      <c r="H51" s="3">
        <v>0</v>
      </c>
      <c r="I51" s="3">
        <v>0</v>
      </c>
    </row>
    <row r="52" spans="1:9" x14ac:dyDescent="0.2">
      <c r="B52" s="37">
        <f>ROWS(B$25:B52)-1</f>
        <v>27</v>
      </c>
      <c r="C52" s="38"/>
      <c r="D52" s="39">
        <f>'Bay Sizes'!AB2</f>
        <v>0</v>
      </c>
      <c r="E52" s="35">
        <v>2</v>
      </c>
      <c r="F52" s="40">
        <f t="shared" si="0"/>
        <v>2</v>
      </c>
      <c r="G52" s="3">
        <v>2</v>
      </c>
      <c r="H52" s="3">
        <v>0</v>
      </c>
      <c r="I52" s="3">
        <v>0</v>
      </c>
    </row>
    <row r="53" spans="1:9" x14ac:dyDescent="0.2">
      <c r="B53" s="37">
        <f>ROWS(B$25:B53)-1</f>
        <v>28</v>
      </c>
      <c r="C53" s="38"/>
      <c r="D53" s="39">
        <f>'Bay Sizes'!AC2</f>
        <v>0</v>
      </c>
      <c r="E53" s="35">
        <v>2</v>
      </c>
      <c r="F53" s="40">
        <f t="shared" si="0"/>
        <v>2</v>
      </c>
      <c r="G53" s="3">
        <v>2</v>
      </c>
      <c r="H53" s="3">
        <v>0</v>
      </c>
      <c r="I53" s="3">
        <v>0</v>
      </c>
    </row>
    <row r="54" spans="1:9" x14ac:dyDescent="0.2">
      <c r="B54" s="37">
        <f>ROWS(B$25:B54)-1</f>
        <v>29</v>
      </c>
      <c r="C54" s="38"/>
      <c r="D54" s="39">
        <f>'Bay Sizes'!AD2</f>
        <v>0</v>
      </c>
      <c r="E54" s="35">
        <v>2</v>
      </c>
      <c r="F54" s="40">
        <f t="shared" si="0"/>
        <v>2</v>
      </c>
      <c r="G54" s="3">
        <v>2</v>
      </c>
      <c r="H54" s="3">
        <v>0</v>
      </c>
      <c r="I54" s="3">
        <v>0</v>
      </c>
    </row>
    <row r="55" spans="1:9" x14ac:dyDescent="0.2">
      <c r="B55" s="37">
        <f>ROWS(B$25:B55)-1</f>
        <v>30</v>
      </c>
      <c r="C55" s="38"/>
      <c r="D55" s="39">
        <f>'Bay Sizes'!AE2</f>
        <v>0</v>
      </c>
      <c r="E55" s="35">
        <v>2</v>
      </c>
      <c r="F55" s="40">
        <f t="shared" si="0"/>
        <v>2</v>
      </c>
      <c r="G55" s="3">
        <v>2</v>
      </c>
      <c r="H55" s="3">
        <v>0</v>
      </c>
      <c r="I55" s="3">
        <v>0</v>
      </c>
    </row>
    <row r="56" spans="1:9" x14ac:dyDescent="0.2">
      <c r="B56" s="37">
        <f>ROWS(B$25:B56)-1</f>
        <v>31</v>
      </c>
      <c r="C56" s="38"/>
      <c r="D56" s="39">
        <f>'Bay Sizes'!AF2</f>
        <v>0</v>
      </c>
      <c r="E56" s="35">
        <v>2</v>
      </c>
      <c r="F56" s="40">
        <f t="shared" si="0"/>
        <v>2</v>
      </c>
      <c r="G56" s="3">
        <v>2</v>
      </c>
      <c r="H56" s="3">
        <v>0</v>
      </c>
      <c r="I56" s="3">
        <v>0</v>
      </c>
    </row>
    <row r="57" spans="1:9" x14ac:dyDescent="0.2">
      <c r="B57" s="37">
        <f>ROWS(B$25:B57)-1</f>
        <v>32</v>
      </c>
      <c r="C57" s="38"/>
      <c r="D57" s="39">
        <f>'Bay Sizes'!AG2</f>
        <v>0</v>
      </c>
      <c r="E57" s="35">
        <v>2</v>
      </c>
      <c r="F57" s="40">
        <f t="shared" si="0"/>
        <v>2</v>
      </c>
      <c r="G57" s="3">
        <v>2</v>
      </c>
      <c r="H57" s="3">
        <v>0</v>
      </c>
      <c r="I57" s="3">
        <v>0</v>
      </c>
    </row>
    <row r="58" spans="1:9" x14ac:dyDescent="0.2">
      <c r="B58" s="37">
        <f>ROWS(B$25:B58)-1</f>
        <v>33</v>
      </c>
      <c r="C58" s="38"/>
      <c r="D58" s="39">
        <f>'Bay Sizes'!AH2</f>
        <v>0</v>
      </c>
      <c r="E58" s="35">
        <v>2</v>
      </c>
      <c r="F58" s="40">
        <f t="shared" si="0"/>
        <v>2</v>
      </c>
      <c r="G58" s="3">
        <v>2</v>
      </c>
      <c r="H58" s="3">
        <v>0</v>
      </c>
      <c r="I58" s="3">
        <v>0</v>
      </c>
    </row>
    <row r="59" spans="1:9" x14ac:dyDescent="0.2">
      <c r="B59" s="37">
        <f>ROWS(B$25:B59)-1</f>
        <v>34</v>
      </c>
      <c r="C59" s="38"/>
      <c r="D59" s="39">
        <f>'Bay Sizes'!AI2</f>
        <v>0</v>
      </c>
      <c r="E59" s="35">
        <v>2</v>
      </c>
      <c r="F59" s="40">
        <f t="shared" si="0"/>
        <v>2</v>
      </c>
      <c r="G59" s="3">
        <v>2</v>
      </c>
      <c r="H59" s="3">
        <v>0</v>
      </c>
      <c r="I59" s="3">
        <v>0</v>
      </c>
    </row>
    <row r="60" spans="1:9" x14ac:dyDescent="0.2">
      <c r="B60" s="37">
        <f>ROWS(B$25:B60)-1</f>
        <v>35</v>
      </c>
      <c r="C60" s="38"/>
      <c r="D60" s="39">
        <f>'Bay Sizes'!AJ2</f>
        <v>0</v>
      </c>
      <c r="E60" s="35">
        <v>2</v>
      </c>
      <c r="F60" s="40">
        <f t="shared" si="0"/>
        <v>2</v>
      </c>
      <c r="G60" s="3">
        <v>2</v>
      </c>
      <c r="H60" s="3">
        <v>0</v>
      </c>
      <c r="I60" s="3">
        <v>0</v>
      </c>
    </row>
    <row r="61" spans="1:9" x14ac:dyDescent="0.2">
      <c r="B61" s="37">
        <f>ROWS(B$25:B61)-1</f>
        <v>36</v>
      </c>
      <c r="C61" s="38"/>
      <c r="D61" s="39">
        <f>'Bay Sizes'!AK2</f>
        <v>0</v>
      </c>
      <c r="E61" s="35">
        <v>2</v>
      </c>
      <c r="F61" s="40">
        <f t="shared" si="0"/>
        <v>2</v>
      </c>
      <c r="G61" s="3">
        <v>2</v>
      </c>
      <c r="H61" s="3">
        <v>0</v>
      </c>
      <c r="I61" s="3">
        <v>0</v>
      </c>
    </row>
    <row r="62" spans="1:9" x14ac:dyDescent="0.2">
      <c r="B62" s="37">
        <f>ROWS(B$25:B62)-1</f>
        <v>37</v>
      </c>
      <c r="C62" s="38"/>
      <c r="D62" s="39">
        <f>'Bay Sizes'!AL2</f>
        <v>0</v>
      </c>
      <c r="E62" s="35">
        <v>2</v>
      </c>
      <c r="F62" s="40">
        <f t="shared" si="0"/>
        <v>2</v>
      </c>
      <c r="G62" s="3">
        <v>2</v>
      </c>
      <c r="H62" s="3">
        <v>0</v>
      </c>
      <c r="I62" s="3">
        <v>0</v>
      </c>
    </row>
    <row r="63" spans="1:9" x14ac:dyDescent="0.2">
      <c r="B63" s="37">
        <f>ROWS(B$25:B63)-1</f>
        <v>38</v>
      </c>
      <c r="C63" s="38"/>
      <c r="D63" s="39">
        <f>'Bay Sizes'!AM2</f>
        <v>0</v>
      </c>
      <c r="E63" s="35">
        <v>2</v>
      </c>
      <c r="F63" s="40">
        <f t="shared" si="0"/>
        <v>2</v>
      </c>
      <c r="G63" s="3">
        <v>2</v>
      </c>
      <c r="H63" s="3">
        <v>0</v>
      </c>
      <c r="I63" s="3">
        <v>0</v>
      </c>
    </row>
    <row r="64" spans="1:9" x14ac:dyDescent="0.2">
      <c r="B64" s="37">
        <f>ROWS(B$25:B64)-1</f>
        <v>39</v>
      </c>
      <c r="C64" s="38"/>
      <c r="D64" s="39">
        <f>'Bay Sizes'!AN2</f>
        <v>0</v>
      </c>
      <c r="E64" s="35">
        <v>2</v>
      </c>
      <c r="F64" s="40">
        <f t="shared" si="0"/>
        <v>2</v>
      </c>
      <c r="G64" s="3">
        <v>2</v>
      </c>
      <c r="H64" s="3">
        <v>0</v>
      </c>
      <c r="I64" s="3">
        <v>0</v>
      </c>
    </row>
    <row r="65" spans="2:9" x14ac:dyDescent="0.2">
      <c r="B65" s="37">
        <f>ROWS(B$25:B65)-1</f>
        <v>40</v>
      </c>
      <c r="C65" s="38"/>
      <c r="D65" s="39">
        <f>'Bay Sizes'!AO2</f>
        <v>0</v>
      </c>
      <c r="E65" s="35">
        <v>2</v>
      </c>
      <c r="F65" s="40">
        <f t="shared" si="0"/>
        <v>2</v>
      </c>
      <c r="G65" s="3">
        <v>2</v>
      </c>
      <c r="H65" s="3">
        <v>0</v>
      </c>
      <c r="I65" s="3">
        <v>0</v>
      </c>
    </row>
  </sheetData>
  <mergeCells count="1">
    <mergeCell ref="B24:B25"/>
  </mergeCells>
  <conditionalFormatting sqref="F26:F65">
    <cfRule type="cellIs" dxfId="1" priority="1" stopIfTrue="1" operator="notEqual">
      <formula>$E26</formula>
    </cfRule>
  </conditionalFormatting>
  <dataValidations count="2">
    <dataValidation type="whole" allowBlank="1" showErrorMessage="1" errorTitle="Hey, Genius!" error="Positive whole numbers only!" sqref="E26:E65">
      <formula1>0</formula1>
      <formula2>1000000000000000</formula2>
    </dataValidation>
    <dataValidation type="decimal" operator="greaterThanOrEqual" allowBlank="1" showInputMessage="1" showErrorMessage="1" errorTitle="Hey, Genius!" error="Kerf must be non-negative" sqref="D2:D3">
      <formula1>0</formula1>
    </dataValidation>
  </dataValidations>
  <pageMargins left="0.5" right="0.5" top="0.5" bottom="0.5" header="0.5" footer="0.5"/>
  <pageSetup orientation="landscape" horizontalDpi="1200" verticalDpi="1200" r:id="rId1"/>
  <headerFooter alignWithMargins="0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ksInp">
    <pageSetUpPr fitToPage="1"/>
  </sheetPr>
  <dimension ref="A1:AJ65"/>
  <sheetViews>
    <sheetView zoomScaleNormal="100" workbookViewId="0">
      <pane xSplit="6" ySplit="25" topLeftCell="G53" activePane="bottomRight" state="frozen"/>
      <selection pane="topRight" activeCell="F1" sqref="F1"/>
      <selection pane="bottomLeft" activeCell="A11" sqref="A11"/>
      <selection pane="bottomRight" activeCell="D6" sqref="D6"/>
    </sheetView>
  </sheetViews>
  <sheetFormatPr defaultColWidth="8.6640625" defaultRowHeight="12" x14ac:dyDescent="0.2"/>
  <cols>
    <col min="1" max="1" width="2.6640625" style="20" customWidth="1"/>
    <col min="2" max="2" width="4.6640625" style="20" bestFit="1" customWidth="1"/>
    <col min="3" max="3" width="16.6640625" style="20" customWidth="1"/>
    <col min="4" max="4" width="7.6640625" style="20" customWidth="1"/>
    <col min="5" max="5" width="8.6640625" style="20"/>
    <col min="6" max="6" width="11" style="20" customWidth="1"/>
    <col min="7" max="33" width="4.6640625" bestFit="1" customWidth="1"/>
    <col min="34" max="646" width="6.6640625" bestFit="1" customWidth="1"/>
  </cols>
  <sheetData>
    <row r="1" spans="1:6" x14ac:dyDescent="0.2">
      <c r="A1" s="21"/>
      <c r="B1" s="21"/>
      <c r="C1" s="21"/>
      <c r="D1" s="21"/>
      <c r="E1" s="21"/>
      <c r="F1" s="21"/>
    </row>
    <row r="2" spans="1:6" ht="12" customHeight="1" x14ac:dyDescent="0.2">
      <c r="A2" s="21"/>
      <c r="B2" s="21"/>
      <c r="C2" s="22" t="s">
        <v>1</v>
      </c>
      <c r="D2" s="23">
        <v>4</v>
      </c>
      <c r="E2" s="21"/>
      <c r="F2" s="21"/>
    </row>
    <row r="3" spans="1:6" ht="12" customHeight="1" x14ac:dyDescent="0.2">
      <c r="A3" s="21"/>
      <c r="B3" s="21"/>
      <c r="C3" s="22" t="s">
        <v>11</v>
      </c>
      <c r="D3" s="23">
        <v>6500</v>
      </c>
      <c r="E3" s="21"/>
      <c r="F3" s="21"/>
    </row>
    <row r="4" spans="1:6" ht="12" customHeight="1" x14ac:dyDescent="0.2">
      <c r="A4" s="21"/>
      <c r="B4" s="21"/>
      <c r="C4" s="22" t="s">
        <v>6</v>
      </c>
      <c r="D4" s="24">
        <f>SUMPRODUCT(rgnLen, rgnQty)</f>
        <v>185020</v>
      </c>
      <c r="E4" s="21"/>
      <c r="F4" s="21"/>
    </row>
    <row r="5" spans="1:6" ht="12" customHeight="1" x14ac:dyDescent="0.2">
      <c r="A5" s="21"/>
      <c r="B5" s="21"/>
      <c r="C5" s="22" t="s">
        <v>7</v>
      </c>
      <c r="D5" s="24">
        <f>INDEX(24:24, MATCH(conBig,24:24 )) * ptrStk</f>
        <v>195000</v>
      </c>
      <c r="E5" s="21"/>
      <c r="F5" s="21"/>
    </row>
    <row r="6" spans="1:6" ht="12" customHeight="1" x14ac:dyDescent="0.2">
      <c r="A6" s="21"/>
      <c r="B6" s="21"/>
      <c r="C6" s="25" t="s">
        <v>5</v>
      </c>
      <c r="D6" s="26">
        <f>D4/ptrUsed</f>
        <v>0.94882051282051283</v>
      </c>
      <c r="E6" s="21"/>
      <c r="F6" s="21"/>
    </row>
    <row r="7" spans="1:6" ht="12" customHeight="1" x14ac:dyDescent="0.2">
      <c r="A7" s="21"/>
      <c r="B7" s="21"/>
      <c r="C7" s="21"/>
      <c r="D7" s="21"/>
      <c r="E7" s="21"/>
      <c r="F7" s="21"/>
    </row>
    <row r="8" spans="1:6" x14ac:dyDescent="0.2">
      <c r="A8" s="21"/>
      <c r="B8" s="21"/>
      <c r="C8" s="21"/>
      <c r="D8" s="21"/>
      <c r="E8" s="21"/>
      <c r="F8" s="21"/>
    </row>
    <row r="9" spans="1:6" x14ac:dyDescent="0.2">
      <c r="A9" s="21"/>
      <c r="B9" s="21"/>
      <c r="C9" s="21"/>
      <c r="D9" s="21"/>
      <c r="E9" s="21"/>
      <c r="F9" s="21"/>
    </row>
    <row r="10" spans="1:6" x14ac:dyDescent="0.2">
      <c r="A10" s="21"/>
      <c r="B10" s="21"/>
      <c r="C10" s="21"/>
      <c r="D10" s="21"/>
      <c r="E10" s="21"/>
      <c r="F10" s="21"/>
    </row>
    <row r="11" spans="1:6" x14ac:dyDescent="0.2">
      <c r="A11" s="21"/>
      <c r="B11" s="21"/>
      <c r="C11" s="21"/>
      <c r="D11" s="21"/>
      <c r="E11" s="21"/>
      <c r="F11" s="21"/>
    </row>
    <row r="12" spans="1:6" x14ac:dyDescent="0.2">
      <c r="A12" s="21"/>
      <c r="B12" s="21"/>
      <c r="C12" s="21"/>
      <c r="D12" s="21"/>
      <c r="E12" s="21"/>
      <c r="F12" s="21"/>
    </row>
    <row r="13" spans="1:6" x14ac:dyDescent="0.2">
      <c r="A13" s="21"/>
      <c r="B13" s="21"/>
      <c r="C13" s="21"/>
      <c r="D13" s="21"/>
      <c r="E13" s="21"/>
      <c r="F13" s="21"/>
    </row>
    <row r="14" spans="1:6" x14ac:dyDescent="0.2">
      <c r="A14" s="21"/>
      <c r="B14" s="21"/>
      <c r="C14" s="21"/>
      <c r="D14" s="21"/>
      <c r="E14" s="21"/>
      <c r="F14" s="21"/>
    </row>
    <row r="15" spans="1:6" ht="20.45" customHeight="1" x14ac:dyDescent="0.2"/>
    <row r="18" spans="1:36" x14ac:dyDescent="0.2">
      <c r="A18" s="21"/>
      <c r="B18" s="21"/>
      <c r="C18" s="21"/>
      <c r="D18" s="21"/>
      <c r="E18" s="21"/>
      <c r="F18" s="21"/>
    </row>
    <row r="19" spans="1:36" x14ac:dyDescent="0.2">
      <c r="A19" s="21"/>
      <c r="B19" s="21"/>
      <c r="C19" s="21"/>
      <c r="D19" s="21"/>
      <c r="E19" s="21"/>
      <c r="F19" s="21"/>
    </row>
    <row r="20" spans="1:36" x14ac:dyDescent="0.2">
      <c r="A20" s="21"/>
      <c r="B20" s="21"/>
      <c r="C20" s="21"/>
      <c r="D20" s="21"/>
      <c r="E20" s="21"/>
      <c r="F20" s="21"/>
    </row>
    <row r="21" spans="1:36" x14ac:dyDescent="0.2">
      <c r="A21" s="21"/>
      <c r="B21" s="21"/>
      <c r="C21" s="21"/>
      <c r="D21" s="21"/>
      <c r="E21" s="21"/>
      <c r="F21" s="21"/>
    </row>
    <row r="22" spans="1:36" x14ac:dyDescent="0.2">
      <c r="A22" s="21"/>
      <c r="B22" s="21"/>
      <c r="C22" s="21"/>
      <c r="D22" s="21"/>
      <c r="E22" s="21"/>
      <c r="F22" s="21"/>
    </row>
    <row r="23" spans="1:36" x14ac:dyDescent="0.2">
      <c r="A23" s="21"/>
      <c r="B23" s="21"/>
      <c r="C23" s="21"/>
      <c r="D23" s="21"/>
      <c r="E23" s="21"/>
      <c r="F23" s="21"/>
    </row>
    <row r="24" spans="1:36" x14ac:dyDescent="0.2">
      <c r="A24" s="21"/>
      <c r="B24" s="86" t="s">
        <v>4</v>
      </c>
      <c r="C24" s="27"/>
      <c r="D24" s="28" t="s">
        <v>3</v>
      </c>
      <c r="E24" s="29">
        <f>SUM(INDEX(rgnInp, 0, 2))</f>
        <v>114</v>
      </c>
      <c r="F24" s="30" t="s">
        <v>9</v>
      </c>
      <c r="G24" s="2">
        <v>1</v>
      </c>
      <c r="H24" s="2">
        <v>2</v>
      </c>
      <c r="I24" s="2">
        <v>3</v>
      </c>
      <c r="J24" s="2">
        <v>4</v>
      </c>
      <c r="K24" s="2">
        <v>5</v>
      </c>
      <c r="L24" s="2">
        <v>6</v>
      </c>
      <c r="M24" s="2">
        <v>7</v>
      </c>
      <c r="N24" s="2">
        <v>8</v>
      </c>
      <c r="O24" s="2">
        <v>9</v>
      </c>
      <c r="P24" s="2">
        <v>10</v>
      </c>
      <c r="Q24" s="2">
        <v>11</v>
      </c>
      <c r="R24" s="2">
        <v>12</v>
      </c>
      <c r="S24" s="2">
        <v>13</v>
      </c>
      <c r="T24" s="2">
        <v>14</v>
      </c>
      <c r="U24" s="2">
        <v>15</v>
      </c>
      <c r="V24" s="2">
        <v>16</v>
      </c>
      <c r="W24" s="2">
        <v>17</v>
      </c>
      <c r="X24" s="2">
        <v>18</v>
      </c>
      <c r="Y24" s="2">
        <v>19</v>
      </c>
      <c r="Z24" s="2">
        <v>20</v>
      </c>
      <c r="AA24" s="2">
        <v>21</v>
      </c>
      <c r="AB24" s="2">
        <v>22</v>
      </c>
      <c r="AC24" s="2">
        <v>23</v>
      </c>
      <c r="AD24" s="2">
        <v>24</v>
      </c>
      <c r="AE24" s="2">
        <v>25</v>
      </c>
      <c r="AF24" s="2">
        <v>26</v>
      </c>
      <c r="AG24" s="2">
        <v>27</v>
      </c>
      <c r="AH24" s="2">
        <v>28</v>
      </c>
      <c r="AI24" s="2">
        <v>29</v>
      </c>
      <c r="AJ24" s="2">
        <v>30</v>
      </c>
    </row>
    <row r="25" spans="1:36" x14ac:dyDescent="0.2">
      <c r="A25" s="21"/>
      <c r="B25" s="86"/>
      <c r="C25" s="31" t="s">
        <v>10</v>
      </c>
      <c r="D25" s="32" t="s">
        <v>0</v>
      </c>
      <c r="E25" s="32" t="s">
        <v>2</v>
      </c>
      <c r="F25" s="32" t="s">
        <v>8</v>
      </c>
      <c r="G25" s="1">
        <f>MAX(0, ptrStk - SUMPRODUCT(G26:G65, rgnLen + ptrKerf))</f>
        <v>39</v>
      </c>
      <c r="H25" s="1">
        <f>MAX(0, ptrStk - SUMPRODUCT(H26:H65, rgnLen + ptrKerf))</f>
        <v>39</v>
      </c>
      <c r="I25" s="1">
        <f>MAX(0, ptrStk - SUMPRODUCT(I26:I65, rgnLen + ptrKerf))</f>
        <v>39</v>
      </c>
      <c r="J25" s="1">
        <f>MAX(0, ptrStk - SUMPRODUCT(J26:J65, rgnLen + ptrKerf))</f>
        <v>39</v>
      </c>
      <c r="K25" s="1">
        <f>MAX(0, ptrStk - SUMPRODUCT(K26:K65, rgnLen + ptrKerf))</f>
        <v>39</v>
      </c>
      <c r="L25" s="1">
        <f>MAX(0, ptrStk - SUMPRODUCT(L26:L65, rgnLen + ptrKerf))</f>
        <v>39</v>
      </c>
      <c r="M25" s="1">
        <f>MAX(0, ptrStk - SUMPRODUCT(M26:M65, rgnLen + ptrKerf))</f>
        <v>39</v>
      </c>
      <c r="N25" s="1">
        <f>MAX(0, ptrStk - SUMPRODUCT(N26:N65, rgnLen + ptrKerf))</f>
        <v>39</v>
      </c>
      <c r="O25" s="1">
        <f>MAX(0, ptrStk - SUMPRODUCT(O26:O65, rgnLen + ptrKerf))</f>
        <v>39</v>
      </c>
      <c r="P25" s="1">
        <f>MAX(0, ptrStk - SUMPRODUCT(P26:P65, rgnLen + ptrKerf))</f>
        <v>39</v>
      </c>
      <c r="Q25" s="1">
        <f>MAX(0, ptrStk - SUMPRODUCT(Q26:Q65, rgnLen + ptrKerf))</f>
        <v>39</v>
      </c>
      <c r="R25" s="1">
        <f>MAX(0, ptrStk - SUMPRODUCT(R26:R65, rgnLen + ptrKerf))</f>
        <v>39</v>
      </c>
      <c r="S25" s="1">
        <f>MAX(0, ptrStk - SUMPRODUCT(S26:S65, rgnLen + ptrKerf))</f>
        <v>39</v>
      </c>
      <c r="T25" s="1">
        <f>MAX(0, ptrStk - SUMPRODUCT(T26:T65, rgnLen + ptrKerf))</f>
        <v>39</v>
      </c>
      <c r="U25" s="1">
        <f>MAX(0, ptrStk - SUMPRODUCT(U26:U65, rgnLen + ptrKerf))</f>
        <v>39</v>
      </c>
      <c r="V25" s="1">
        <f>MAX(0, ptrStk - SUMPRODUCT(V26:V65, rgnLen + ptrKerf))</f>
        <v>39</v>
      </c>
      <c r="W25" s="1">
        <f>MAX(0, ptrStk - SUMPRODUCT(W26:W65, rgnLen + ptrKerf))</f>
        <v>39</v>
      </c>
      <c r="X25" s="1">
        <f>MAX(0, ptrStk - SUMPRODUCT(X26:X65, rgnLen + ptrKerf))</f>
        <v>39</v>
      </c>
      <c r="Y25" s="1">
        <f>MAX(0, ptrStk - SUMPRODUCT(Y26:Y65, rgnLen + ptrKerf))</f>
        <v>39</v>
      </c>
      <c r="Z25" s="1">
        <f>MAX(0, ptrStk - SUMPRODUCT(Z26:Z65, rgnLen + ptrKerf))</f>
        <v>39</v>
      </c>
      <c r="AA25" s="1">
        <f>MAX(0, ptrStk - SUMPRODUCT(AA26:AA65, rgnLen + ptrKerf))</f>
        <v>39</v>
      </c>
      <c r="AB25" s="1">
        <f>MAX(0, ptrStk - SUMPRODUCT(AB26:AB65, rgnLen + ptrKerf))</f>
        <v>39</v>
      </c>
      <c r="AC25" s="1">
        <f>MAX(0, ptrStk - SUMPRODUCT(AC26:AC65, rgnLen + ptrKerf))</f>
        <v>39</v>
      </c>
      <c r="AD25" s="1">
        <f>MAX(0, ptrStk - SUMPRODUCT(AD26:AD65, rgnLen + ptrKerf))</f>
        <v>39</v>
      </c>
      <c r="AE25" s="1">
        <f>MAX(0, ptrStk - SUMPRODUCT(AE26:AE65, rgnLen + ptrKerf))</f>
        <v>39</v>
      </c>
      <c r="AF25" s="1">
        <f>MAX(0, ptrStk - SUMPRODUCT(AF26:AF65, rgnLen + ptrKerf))</f>
        <v>39</v>
      </c>
      <c r="AG25" s="1">
        <f>MAX(0, ptrStk - SUMPRODUCT(AG26:AG65, rgnLen + ptrKerf))</f>
        <v>39</v>
      </c>
      <c r="AH25" s="1">
        <f>MAX(0, ptrStk - SUMPRODUCT(AH26:AH65, rgnLen + ptrKerf))</f>
        <v>1238</v>
      </c>
      <c r="AI25" s="1">
        <f>MAX(0, ptrStk - SUMPRODUCT(AI26:AI65, rgnLen + ptrKerf))</f>
        <v>1388</v>
      </c>
      <c r="AJ25" s="1">
        <f>MAX(0, ptrStk - SUMPRODUCT(AJ26:AJ65, rgnLen + ptrKerf))</f>
        <v>4796</v>
      </c>
    </row>
    <row r="26" spans="1:36" x14ac:dyDescent="0.2">
      <c r="A26" s="21"/>
      <c r="B26" s="33">
        <f>ROWS(B$25:B26)-1</f>
        <v>1</v>
      </c>
      <c r="C26" s="34"/>
      <c r="D26" s="35">
        <f>'Bay Sizes'!B3</f>
        <v>1045</v>
      </c>
      <c r="E26" s="35">
        <f>'Bay Sizes'!B7</f>
        <v>26</v>
      </c>
      <c r="F26" s="36">
        <f t="shared" ref="F26:F65" si="0">SUM(G26:AJ26)</f>
        <v>27</v>
      </c>
      <c r="G26" s="3">
        <v>1</v>
      </c>
      <c r="H26" s="3">
        <v>1</v>
      </c>
      <c r="I26" s="3">
        <v>1</v>
      </c>
      <c r="J26" s="3">
        <v>1</v>
      </c>
      <c r="K26" s="3">
        <v>1</v>
      </c>
      <c r="L26" s="3">
        <v>1</v>
      </c>
      <c r="M26" s="3">
        <v>1</v>
      </c>
      <c r="N26" s="3">
        <v>1</v>
      </c>
      <c r="O26" s="3">
        <v>1</v>
      </c>
      <c r="P26" s="3">
        <v>1</v>
      </c>
      <c r="Q26" s="3">
        <v>1</v>
      </c>
      <c r="R26" s="3">
        <v>1</v>
      </c>
      <c r="S26" s="3">
        <v>1</v>
      </c>
      <c r="T26" s="3">
        <v>1</v>
      </c>
      <c r="U26" s="3">
        <v>1</v>
      </c>
      <c r="V26" s="3">
        <v>1</v>
      </c>
      <c r="W26" s="3">
        <v>1</v>
      </c>
      <c r="X26" s="3">
        <v>1</v>
      </c>
      <c r="Y26" s="3">
        <v>1</v>
      </c>
      <c r="Z26" s="3">
        <v>1</v>
      </c>
      <c r="AA26" s="3">
        <v>1</v>
      </c>
      <c r="AB26" s="3">
        <v>1</v>
      </c>
      <c r="AC26" s="3">
        <v>1</v>
      </c>
      <c r="AD26" s="3">
        <v>1</v>
      </c>
      <c r="AE26" s="3">
        <v>1</v>
      </c>
      <c r="AF26" s="3">
        <v>1</v>
      </c>
      <c r="AG26" s="3">
        <v>1</v>
      </c>
      <c r="AH26" s="3">
        <v>0</v>
      </c>
      <c r="AI26" s="3">
        <v>0</v>
      </c>
      <c r="AJ26" s="3">
        <v>0</v>
      </c>
    </row>
    <row r="27" spans="1:36" ht="11.25" customHeight="1" x14ac:dyDescent="0.2">
      <c r="A27" s="21"/>
      <c r="B27" s="37">
        <f>ROWS(B$25:B27)-1</f>
        <v>2</v>
      </c>
      <c r="C27" s="38"/>
      <c r="D27" s="39">
        <f>'Bay Sizes'!C3</f>
        <v>1850</v>
      </c>
      <c r="E27" s="39">
        <f>'Bay Sizes'!C7</f>
        <v>11</v>
      </c>
      <c r="F27" s="40">
        <f t="shared" si="0"/>
        <v>11</v>
      </c>
      <c r="G27" s="3">
        <v>2</v>
      </c>
      <c r="H27" s="3">
        <v>2</v>
      </c>
      <c r="I27" s="3">
        <v>2</v>
      </c>
      <c r="J27" s="3">
        <v>2</v>
      </c>
      <c r="K27" s="3">
        <v>2</v>
      </c>
      <c r="L27" s="3">
        <v>1</v>
      </c>
      <c r="M27" s="3">
        <v>0</v>
      </c>
      <c r="N27" s="3">
        <v>0</v>
      </c>
      <c r="O27" s="3">
        <v>0</v>
      </c>
      <c r="P27" s="3">
        <v>0</v>
      </c>
      <c r="Q27" s="3">
        <v>0</v>
      </c>
      <c r="R27" s="3">
        <v>0</v>
      </c>
      <c r="S27" s="3">
        <v>0</v>
      </c>
      <c r="T27" s="3">
        <v>0</v>
      </c>
      <c r="U27" s="3">
        <v>0</v>
      </c>
      <c r="V27" s="3">
        <v>0</v>
      </c>
      <c r="W27" s="3">
        <v>0</v>
      </c>
      <c r="X27" s="3">
        <v>0</v>
      </c>
      <c r="Y27" s="3">
        <v>0</v>
      </c>
      <c r="Z27" s="3">
        <v>0</v>
      </c>
      <c r="AA27" s="3">
        <v>0</v>
      </c>
      <c r="AB27" s="3">
        <v>0</v>
      </c>
      <c r="AC27" s="3">
        <v>0</v>
      </c>
      <c r="AD27" s="3">
        <v>0</v>
      </c>
      <c r="AE27" s="3">
        <v>0</v>
      </c>
      <c r="AF27" s="3">
        <v>0</v>
      </c>
      <c r="AG27" s="3">
        <v>0</v>
      </c>
      <c r="AH27" s="3">
        <v>0</v>
      </c>
      <c r="AI27" s="3">
        <v>0</v>
      </c>
      <c r="AJ27" s="3">
        <v>0</v>
      </c>
    </row>
    <row r="28" spans="1:36" ht="11.25" customHeight="1" x14ac:dyDescent="0.2">
      <c r="A28" s="21"/>
      <c r="B28" s="37">
        <f>ROWS(B$25:B28)-1</f>
        <v>3</v>
      </c>
      <c r="C28" s="38"/>
      <c r="D28" s="39">
        <f>'Bay Sizes'!D3</f>
        <v>1850</v>
      </c>
      <c r="E28" s="39">
        <f>'Bay Sizes'!D7</f>
        <v>11</v>
      </c>
      <c r="F28" s="40">
        <f t="shared" si="0"/>
        <v>11</v>
      </c>
      <c r="G28" s="3">
        <v>0</v>
      </c>
      <c r="H28" s="3">
        <v>0</v>
      </c>
      <c r="I28" s="3">
        <v>0</v>
      </c>
      <c r="J28" s="3">
        <v>0</v>
      </c>
      <c r="K28" s="3">
        <v>0</v>
      </c>
      <c r="L28" s="3">
        <v>1</v>
      </c>
      <c r="M28" s="3">
        <v>2</v>
      </c>
      <c r="N28" s="3">
        <v>2</v>
      </c>
      <c r="O28" s="3">
        <v>2</v>
      </c>
      <c r="P28" s="3">
        <v>2</v>
      </c>
      <c r="Q28" s="3">
        <v>2</v>
      </c>
      <c r="R28" s="3">
        <v>0</v>
      </c>
      <c r="S28" s="3">
        <v>0</v>
      </c>
      <c r="T28" s="3">
        <v>0</v>
      </c>
      <c r="U28" s="3">
        <v>0</v>
      </c>
      <c r="V28" s="3">
        <v>0</v>
      </c>
      <c r="W28" s="3">
        <v>0</v>
      </c>
      <c r="X28" s="3">
        <v>0</v>
      </c>
      <c r="Y28" s="3">
        <v>0</v>
      </c>
      <c r="Z28" s="3">
        <v>0</v>
      </c>
      <c r="AA28" s="3">
        <v>0</v>
      </c>
      <c r="AB28" s="3">
        <v>0</v>
      </c>
      <c r="AC28" s="3">
        <v>0</v>
      </c>
      <c r="AD28" s="3">
        <v>0</v>
      </c>
      <c r="AE28" s="3">
        <v>0</v>
      </c>
      <c r="AF28" s="3">
        <v>0</v>
      </c>
      <c r="AG28" s="3">
        <v>0</v>
      </c>
      <c r="AH28" s="3">
        <v>0</v>
      </c>
      <c r="AI28" s="3">
        <v>0</v>
      </c>
      <c r="AJ28" s="3">
        <v>0</v>
      </c>
    </row>
    <row r="29" spans="1:36" x14ac:dyDescent="0.2">
      <c r="A29" s="21"/>
      <c r="B29" s="37">
        <f>ROWS(B$25:B29)-1</f>
        <v>4</v>
      </c>
      <c r="C29" s="38"/>
      <c r="D29" s="39">
        <f>'Bay Sizes'!E3</f>
        <v>1850</v>
      </c>
      <c r="E29" s="39">
        <f>'Bay Sizes'!E7</f>
        <v>11</v>
      </c>
      <c r="F29" s="40">
        <f t="shared" si="0"/>
        <v>11</v>
      </c>
      <c r="G29" s="3">
        <v>0</v>
      </c>
      <c r="H29" s="3">
        <v>0</v>
      </c>
      <c r="I29" s="3">
        <v>0</v>
      </c>
      <c r="J29" s="3">
        <v>0</v>
      </c>
      <c r="K29" s="3">
        <v>0</v>
      </c>
      <c r="L29" s="3">
        <v>0</v>
      </c>
      <c r="M29" s="3">
        <v>0</v>
      </c>
      <c r="N29" s="3">
        <v>0</v>
      </c>
      <c r="O29" s="3">
        <v>0</v>
      </c>
      <c r="P29" s="3">
        <v>0</v>
      </c>
      <c r="Q29" s="3">
        <v>0</v>
      </c>
      <c r="R29" s="3">
        <v>2</v>
      </c>
      <c r="S29" s="3">
        <v>2</v>
      </c>
      <c r="T29" s="3">
        <v>2</v>
      </c>
      <c r="U29" s="3">
        <v>2</v>
      </c>
      <c r="V29" s="3">
        <v>2</v>
      </c>
      <c r="W29" s="3">
        <v>1</v>
      </c>
      <c r="X29" s="3">
        <v>0</v>
      </c>
      <c r="Y29" s="3">
        <v>0</v>
      </c>
      <c r="Z29" s="3">
        <v>0</v>
      </c>
      <c r="AA29" s="3">
        <v>0</v>
      </c>
      <c r="AB29" s="3">
        <v>0</v>
      </c>
      <c r="AC29" s="3">
        <v>0</v>
      </c>
      <c r="AD29" s="3">
        <v>0</v>
      </c>
      <c r="AE29" s="3">
        <v>0</v>
      </c>
      <c r="AF29" s="3">
        <v>0</v>
      </c>
      <c r="AG29" s="3">
        <v>0</v>
      </c>
      <c r="AH29" s="3">
        <v>0</v>
      </c>
      <c r="AI29" s="3">
        <v>0</v>
      </c>
      <c r="AJ29" s="3">
        <v>0</v>
      </c>
    </row>
    <row r="30" spans="1:36" x14ac:dyDescent="0.2">
      <c r="A30" s="21"/>
      <c r="B30" s="37">
        <f>ROWS(B$25:B30)-1</f>
        <v>5</v>
      </c>
      <c r="C30" s="38"/>
      <c r="D30" s="39">
        <f>'Bay Sizes'!F3</f>
        <v>1850</v>
      </c>
      <c r="E30" s="39">
        <f>'Bay Sizes'!F7</f>
        <v>11</v>
      </c>
      <c r="F30" s="40">
        <f t="shared" si="0"/>
        <v>11</v>
      </c>
      <c r="G30" s="3">
        <v>0</v>
      </c>
      <c r="H30" s="3">
        <v>0</v>
      </c>
      <c r="I30" s="3">
        <v>0</v>
      </c>
      <c r="J30" s="3">
        <v>0</v>
      </c>
      <c r="K30" s="3">
        <v>0</v>
      </c>
      <c r="L30" s="3">
        <v>0</v>
      </c>
      <c r="M30" s="3">
        <v>0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3">
        <v>0</v>
      </c>
      <c r="T30" s="3">
        <v>0</v>
      </c>
      <c r="U30" s="3">
        <v>0</v>
      </c>
      <c r="V30" s="3">
        <v>0</v>
      </c>
      <c r="W30" s="3">
        <v>1</v>
      </c>
      <c r="X30" s="3">
        <v>2</v>
      </c>
      <c r="Y30" s="3">
        <v>2</v>
      </c>
      <c r="Z30" s="3">
        <v>2</v>
      </c>
      <c r="AA30" s="3">
        <v>2</v>
      </c>
      <c r="AB30" s="3">
        <v>2</v>
      </c>
      <c r="AC30" s="3">
        <v>0</v>
      </c>
      <c r="AD30" s="3">
        <v>0</v>
      </c>
      <c r="AE30" s="3">
        <v>0</v>
      </c>
      <c r="AF30" s="3">
        <v>0</v>
      </c>
      <c r="AG30" s="3">
        <v>0</v>
      </c>
      <c r="AH30" s="3">
        <v>0</v>
      </c>
      <c r="AI30" s="3">
        <v>0</v>
      </c>
      <c r="AJ30" s="3">
        <v>0</v>
      </c>
    </row>
    <row r="31" spans="1:36" x14ac:dyDescent="0.2">
      <c r="A31" s="21"/>
      <c r="B31" s="37">
        <f>ROWS(B$25:B31)-1</f>
        <v>6</v>
      </c>
      <c r="C31" s="38"/>
      <c r="D31" s="39">
        <f>'Bay Sizes'!G3</f>
        <v>1850</v>
      </c>
      <c r="E31" s="39">
        <f>'Bay Sizes'!G7</f>
        <v>11</v>
      </c>
      <c r="F31" s="40">
        <f t="shared" si="0"/>
        <v>11</v>
      </c>
      <c r="G31" s="3">
        <v>0</v>
      </c>
      <c r="H31" s="3">
        <v>0</v>
      </c>
      <c r="I31" s="3">
        <v>0</v>
      </c>
      <c r="J31" s="3">
        <v>0</v>
      </c>
      <c r="K31" s="3">
        <v>0</v>
      </c>
      <c r="L31" s="3">
        <v>0</v>
      </c>
      <c r="M31" s="3">
        <v>0</v>
      </c>
      <c r="N31" s="3">
        <v>0</v>
      </c>
      <c r="O31" s="3">
        <v>0</v>
      </c>
      <c r="P31" s="3">
        <v>0</v>
      </c>
      <c r="Q31" s="3">
        <v>0</v>
      </c>
      <c r="R31" s="3">
        <v>0</v>
      </c>
      <c r="S31" s="3">
        <v>0</v>
      </c>
      <c r="T31" s="3">
        <v>0</v>
      </c>
      <c r="U31" s="3">
        <v>0</v>
      </c>
      <c r="V31" s="3">
        <v>0</v>
      </c>
      <c r="W31" s="3">
        <v>0</v>
      </c>
      <c r="X31" s="3">
        <v>0</v>
      </c>
      <c r="Y31" s="3">
        <v>0</v>
      </c>
      <c r="Z31" s="3">
        <v>0</v>
      </c>
      <c r="AA31" s="3">
        <v>0</v>
      </c>
      <c r="AB31" s="3">
        <v>0</v>
      </c>
      <c r="AC31" s="3">
        <v>2</v>
      </c>
      <c r="AD31" s="3">
        <v>2</v>
      </c>
      <c r="AE31" s="3">
        <v>2</v>
      </c>
      <c r="AF31" s="3">
        <v>2</v>
      </c>
      <c r="AG31" s="3">
        <v>2</v>
      </c>
      <c r="AH31" s="3">
        <v>1</v>
      </c>
      <c r="AI31" s="3">
        <v>0</v>
      </c>
      <c r="AJ31" s="3">
        <v>0</v>
      </c>
    </row>
    <row r="32" spans="1:36" x14ac:dyDescent="0.2">
      <c r="A32" s="21"/>
      <c r="B32" s="37">
        <f>ROWS(B$25:B32)-1</f>
        <v>7</v>
      </c>
      <c r="C32" s="38"/>
      <c r="D32" s="39">
        <f>'Bay Sizes'!H3</f>
        <v>1700</v>
      </c>
      <c r="E32" s="39">
        <f>'Bay Sizes'!H7</f>
        <v>11</v>
      </c>
      <c r="F32" s="40">
        <f t="shared" si="0"/>
        <v>11</v>
      </c>
      <c r="G32" s="3">
        <v>1</v>
      </c>
      <c r="H32" s="3">
        <v>1</v>
      </c>
      <c r="I32" s="3">
        <v>1</v>
      </c>
      <c r="J32" s="3">
        <v>1</v>
      </c>
      <c r="K32" s="3">
        <v>1</v>
      </c>
      <c r="L32" s="3">
        <v>1</v>
      </c>
      <c r="M32" s="3">
        <v>1</v>
      </c>
      <c r="N32" s="3">
        <v>1</v>
      </c>
      <c r="O32" s="3">
        <v>1</v>
      </c>
      <c r="P32" s="3">
        <v>1</v>
      </c>
      <c r="Q32" s="3">
        <v>1</v>
      </c>
      <c r="R32" s="3">
        <v>0</v>
      </c>
      <c r="S32" s="3">
        <v>0</v>
      </c>
      <c r="T32" s="3">
        <v>0</v>
      </c>
      <c r="U32" s="3">
        <v>0</v>
      </c>
      <c r="V32" s="3">
        <v>0</v>
      </c>
      <c r="W32" s="3">
        <v>0</v>
      </c>
      <c r="X32" s="3">
        <v>0</v>
      </c>
      <c r="Y32" s="3">
        <v>0</v>
      </c>
      <c r="Z32" s="3">
        <v>0</v>
      </c>
      <c r="AA32" s="3">
        <v>0</v>
      </c>
      <c r="AB32" s="3">
        <v>0</v>
      </c>
      <c r="AC32" s="3">
        <v>0</v>
      </c>
      <c r="AD32" s="3">
        <v>0</v>
      </c>
      <c r="AE32" s="3">
        <v>0</v>
      </c>
      <c r="AF32" s="3">
        <v>0</v>
      </c>
      <c r="AG32" s="3">
        <v>0</v>
      </c>
      <c r="AH32" s="3">
        <v>0</v>
      </c>
      <c r="AI32" s="3">
        <v>0</v>
      </c>
      <c r="AJ32" s="3">
        <v>0</v>
      </c>
    </row>
    <row r="33" spans="1:36" x14ac:dyDescent="0.2">
      <c r="A33" s="21"/>
      <c r="B33" s="37">
        <f>ROWS(B$25:B33)-1</f>
        <v>8</v>
      </c>
      <c r="C33" s="38"/>
      <c r="D33" s="39">
        <f>'Bay Sizes'!I3</f>
        <v>1700</v>
      </c>
      <c r="E33" s="39">
        <f>'Bay Sizes'!I7</f>
        <v>11</v>
      </c>
      <c r="F33" s="40">
        <f t="shared" si="0"/>
        <v>11</v>
      </c>
      <c r="G33" s="3">
        <v>0</v>
      </c>
      <c r="H33" s="3">
        <v>0</v>
      </c>
      <c r="I33" s="3">
        <v>0</v>
      </c>
      <c r="J33" s="3">
        <v>0</v>
      </c>
      <c r="K33" s="3">
        <v>0</v>
      </c>
      <c r="L33" s="3">
        <v>0</v>
      </c>
      <c r="M33" s="3">
        <v>0</v>
      </c>
      <c r="N33" s="3">
        <v>0</v>
      </c>
      <c r="O33" s="3">
        <v>0</v>
      </c>
      <c r="P33" s="3">
        <v>0</v>
      </c>
      <c r="Q33" s="3">
        <v>0</v>
      </c>
      <c r="R33" s="3">
        <v>1</v>
      </c>
      <c r="S33" s="3">
        <v>1</v>
      </c>
      <c r="T33" s="3">
        <v>1</v>
      </c>
      <c r="U33" s="3">
        <v>1</v>
      </c>
      <c r="V33" s="3">
        <v>1</v>
      </c>
      <c r="W33" s="3">
        <v>1</v>
      </c>
      <c r="X33" s="3">
        <v>1</v>
      </c>
      <c r="Y33" s="3">
        <v>1</v>
      </c>
      <c r="Z33" s="3">
        <v>1</v>
      </c>
      <c r="AA33" s="3">
        <v>1</v>
      </c>
      <c r="AB33" s="3">
        <v>1</v>
      </c>
      <c r="AC33" s="3">
        <v>0</v>
      </c>
      <c r="AD33" s="3">
        <v>0</v>
      </c>
      <c r="AE33" s="3">
        <v>0</v>
      </c>
      <c r="AF33" s="3">
        <v>0</v>
      </c>
      <c r="AG33" s="3">
        <v>0</v>
      </c>
      <c r="AH33" s="3">
        <v>0</v>
      </c>
      <c r="AI33" s="3">
        <v>0</v>
      </c>
      <c r="AJ33" s="3">
        <v>0</v>
      </c>
    </row>
    <row r="34" spans="1:36" ht="14.25" customHeight="1" x14ac:dyDescent="0.2">
      <c r="A34" s="21"/>
      <c r="B34" s="37">
        <f>ROWS(B$25:B34)-1</f>
        <v>9</v>
      </c>
      <c r="C34" s="38"/>
      <c r="D34" s="39">
        <f>'Bay Sizes'!J3</f>
        <v>1700</v>
      </c>
      <c r="E34" s="39">
        <f>'Bay Sizes'!J7</f>
        <v>11</v>
      </c>
      <c r="F34" s="40">
        <f t="shared" si="0"/>
        <v>11</v>
      </c>
      <c r="G34" s="3">
        <v>0</v>
      </c>
      <c r="H34" s="3">
        <v>0</v>
      </c>
      <c r="I34" s="3">
        <v>0</v>
      </c>
      <c r="J34" s="3">
        <v>0</v>
      </c>
      <c r="K34" s="3">
        <v>0</v>
      </c>
      <c r="L34" s="3">
        <v>0</v>
      </c>
      <c r="M34" s="3">
        <v>0</v>
      </c>
      <c r="N34" s="3">
        <v>0</v>
      </c>
      <c r="O34" s="3">
        <v>0</v>
      </c>
      <c r="P34" s="3">
        <v>0</v>
      </c>
      <c r="Q34" s="3">
        <v>0</v>
      </c>
      <c r="R34" s="3">
        <v>0</v>
      </c>
      <c r="S34" s="3">
        <v>0</v>
      </c>
      <c r="T34" s="3">
        <v>0</v>
      </c>
      <c r="U34" s="3">
        <v>0</v>
      </c>
      <c r="V34" s="3">
        <v>0</v>
      </c>
      <c r="W34" s="3">
        <v>0</v>
      </c>
      <c r="X34" s="3">
        <v>0</v>
      </c>
      <c r="Y34" s="3">
        <v>0</v>
      </c>
      <c r="Z34" s="3">
        <v>0</v>
      </c>
      <c r="AA34" s="3">
        <v>0</v>
      </c>
      <c r="AB34" s="3">
        <v>0</v>
      </c>
      <c r="AC34" s="3">
        <v>1</v>
      </c>
      <c r="AD34" s="3">
        <v>1</v>
      </c>
      <c r="AE34" s="3">
        <v>1</v>
      </c>
      <c r="AF34" s="3">
        <v>1</v>
      </c>
      <c r="AG34" s="3">
        <v>1</v>
      </c>
      <c r="AH34" s="3">
        <v>2</v>
      </c>
      <c r="AI34" s="3">
        <v>3</v>
      </c>
      <c r="AJ34" s="3">
        <v>1</v>
      </c>
    </row>
    <row r="35" spans="1:36" x14ac:dyDescent="0.2">
      <c r="A35" s="21"/>
      <c r="B35" s="37">
        <f>ROWS(B$25:B35)-1</f>
        <v>10</v>
      </c>
      <c r="C35" s="38"/>
      <c r="D35" s="39">
        <f>'Bay Sizes'!K3</f>
        <v>0</v>
      </c>
      <c r="E35" s="39">
        <f>'Bay Sizes'!K7</f>
        <v>0</v>
      </c>
      <c r="F35" s="40">
        <f t="shared" si="0"/>
        <v>0</v>
      </c>
      <c r="G35" s="3">
        <v>0</v>
      </c>
      <c r="H35" s="3">
        <v>0</v>
      </c>
      <c r="I35" s="3">
        <v>0</v>
      </c>
      <c r="J35" s="3">
        <v>0</v>
      </c>
      <c r="K35" s="3">
        <v>0</v>
      </c>
      <c r="L35" s="3">
        <v>0</v>
      </c>
      <c r="M35" s="3">
        <v>0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3">
        <v>0</v>
      </c>
      <c r="T35" s="3">
        <v>0</v>
      </c>
      <c r="U35" s="3">
        <v>0</v>
      </c>
      <c r="V35" s="3">
        <v>0</v>
      </c>
      <c r="W35" s="3">
        <v>0</v>
      </c>
      <c r="X35" s="3">
        <v>0</v>
      </c>
      <c r="Y35" s="3">
        <v>0</v>
      </c>
      <c r="Z35" s="3">
        <v>0</v>
      </c>
      <c r="AA35" s="3">
        <v>0</v>
      </c>
      <c r="AB35" s="3">
        <v>0</v>
      </c>
      <c r="AC35" s="3">
        <v>0</v>
      </c>
      <c r="AD35" s="3">
        <v>0</v>
      </c>
      <c r="AE35" s="3">
        <v>0</v>
      </c>
      <c r="AF35" s="3">
        <v>0</v>
      </c>
      <c r="AG35" s="3">
        <v>0</v>
      </c>
      <c r="AH35" s="3">
        <v>0</v>
      </c>
      <c r="AI35" s="3">
        <v>0</v>
      </c>
      <c r="AJ35" s="3">
        <v>0</v>
      </c>
    </row>
    <row r="36" spans="1:36" ht="12.75" customHeight="1" x14ac:dyDescent="0.2">
      <c r="A36" s="21"/>
      <c r="B36" s="37">
        <f>ROWS(B$25:B36)-1</f>
        <v>11</v>
      </c>
      <c r="C36" s="38"/>
      <c r="D36" s="39">
        <f>'Bay Sizes'!L3</f>
        <v>0</v>
      </c>
      <c r="E36" s="39">
        <f>'Bay Sizes'!L7</f>
        <v>0</v>
      </c>
      <c r="F36" s="40">
        <f t="shared" si="0"/>
        <v>0</v>
      </c>
      <c r="G36" s="3">
        <v>0</v>
      </c>
      <c r="H36" s="3">
        <v>0</v>
      </c>
      <c r="I36" s="3">
        <v>0</v>
      </c>
      <c r="J36" s="3">
        <v>0</v>
      </c>
      <c r="K36" s="3">
        <v>0</v>
      </c>
      <c r="L36" s="3">
        <v>0</v>
      </c>
      <c r="M36" s="3">
        <v>0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3">
        <v>0</v>
      </c>
      <c r="T36" s="3">
        <v>0</v>
      </c>
      <c r="U36" s="3">
        <v>0</v>
      </c>
      <c r="V36" s="3">
        <v>0</v>
      </c>
      <c r="W36" s="3">
        <v>0</v>
      </c>
      <c r="X36" s="3">
        <v>0</v>
      </c>
      <c r="Y36" s="3">
        <v>0</v>
      </c>
      <c r="Z36" s="3">
        <v>0</v>
      </c>
      <c r="AA36" s="3">
        <v>0</v>
      </c>
      <c r="AB36" s="3">
        <v>0</v>
      </c>
      <c r="AC36" s="3">
        <v>0</v>
      </c>
      <c r="AD36" s="3">
        <v>0</v>
      </c>
      <c r="AE36" s="3">
        <v>0</v>
      </c>
      <c r="AF36" s="3">
        <v>0</v>
      </c>
      <c r="AG36" s="3">
        <v>0</v>
      </c>
      <c r="AH36" s="3">
        <v>0</v>
      </c>
      <c r="AI36" s="3">
        <v>0</v>
      </c>
      <c r="AJ36" s="3">
        <v>0</v>
      </c>
    </row>
    <row r="37" spans="1:36" x14ac:dyDescent="0.2">
      <c r="A37" s="21"/>
      <c r="B37" s="37">
        <f>ROWS(B$25:B37)-1</f>
        <v>12</v>
      </c>
      <c r="C37" s="38"/>
      <c r="D37" s="39">
        <f>'Bay Sizes'!M3</f>
        <v>0</v>
      </c>
      <c r="E37" s="39">
        <f>'Bay Sizes'!M7</f>
        <v>0</v>
      </c>
      <c r="F37" s="40">
        <f t="shared" si="0"/>
        <v>0</v>
      </c>
      <c r="G37" s="3">
        <v>0</v>
      </c>
      <c r="H37" s="3">
        <v>0</v>
      </c>
      <c r="I37" s="3">
        <v>0</v>
      </c>
      <c r="J37" s="3">
        <v>0</v>
      </c>
      <c r="K37" s="3">
        <v>0</v>
      </c>
      <c r="L37" s="3">
        <v>0</v>
      </c>
      <c r="M37" s="3">
        <v>0</v>
      </c>
      <c r="N37" s="3">
        <v>0</v>
      </c>
      <c r="O37" s="3">
        <v>0</v>
      </c>
      <c r="P37" s="3">
        <v>0</v>
      </c>
      <c r="Q37" s="3">
        <v>0</v>
      </c>
      <c r="R37" s="3">
        <v>0</v>
      </c>
      <c r="S37" s="3">
        <v>0</v>
      </c>
      <c r="T37" s="3">
        <v>0</v>
      </c>
      <c r="U37" s="3">
        <v>0</v>
      </c>
      <c r="V37" s="3">
        <v>0</v>
      </c>
      <c r="W37" s="3">
        <v>0</v>
      </c>
      <c r="X37" s="3">
        <v>0</v>
      </c>
      <c r="Y37" s="3">
        <v>0</v>
      </c>
      <c r="Z37" s="3">
        <v>0</v>
      </c>
      <c r="AA37" s="3">
        <v>0</v>
      </c>
      <c r="AB37" s="3">
        <v>0</v>
      </c>
      <c r="AC37" s="3">
        <v>0</v>
      </c>
      <c r="AD37" s="3">
        <v>0</v>
      </c>
      <c r="AE37" s="3">
        <v>0</v>
      </c>
      <c r="AF37" s="3">
        <v>0</v>
      </c>
      <c r="AG37" s="3">
        <v>0</v>
      </c>
      <c r="AH37" s="3">
        <v>0</v>
      </c>
      <c r="AI37" s="3">
        <v>0</v>
      </c>
      <c r="AJ37" s="3">
        <v>0</v>
      </c>
    </row>
    <row r="38" spans="1:36" x14ac:dyDescent="0.2">
      <c r="A38" s="21"/>
      <c r="B38" s="37">
        <f>ROWS(B$25:B38)-1</f>
        <v>13</v>
      </c>
      <c r="C38" s="38"/>
      <c r="D38" s="39">
        <f>'Bay Sizes'!N3</f>
        <v>0</v>
      </c>
      <c r="E38" s="39">
        <f>'Bay Sizes'!N7</f>
        <v>0</v>
      </c>
      <c r="F38" s="40">
        <f t="shared" si="0"/>
        <v>0</v>
      </c>
      <c r="G38" s="3">
        <v>0</v>
      </c>
      <c r="H38" s="3">
        <v>0</v>
      </c>
      <c r="I38" s="3">
        <v>0</v>
      </c>
      <c r="J38" s="3">
        <v>0</v>
      </c>
      <c r="K38" s="3">
        <v>0</v>
      </c>
      <c r="L38" s="3">
        <v>0</v>
      </c>
      <c r="M38" s="3">
        <v>0</v>
      </c>
      <c r="N38" s="3">
        <v>0</v>
      </c>
      <c r="O38" s="3">
        <v>0</v>
      </c>
      <c r="P38" s="3">
        <v>0</v>
      </c>
      <c r="Q38" s="3">
        <v>0</v>
      </c>
      <c r="R38" s="3">
        <v>0</v>
      </c>
      <c r="S38" s="3">
        <v>0</v>
      </c>
      <c r="T38" s="3">
        <v>0</v>
      </c>
      <c r="U38" s="3">
        <v>0</v>
      </c>
      <c r="V38" s="3">
        <v>0</v>
      </c>
      <c r="W38" s="3">
        <v>0</v>
      </c>
      <c r="X38" s="3">
        <v>0</v>
      </c>
      <c r="Y38" s="3">
        <v>0</v>
      </c>
      <c r="Z38" s="3">
        <v>0</v>
      </c>
      <c r="AA38" s="3">
        <v>0</v>
      </c>
      <c r="AB38" s="3">
        <v>0</v>
      </c>
      <c r="AC38" s="3">
        <v>0</v>
      </c>
      <c r="AD38" s="3">
        <v>0</v>
      </c>
      <c r="AE38" s="3">
        <v>0</v>
      </c>
      <c r="AF38" s="3">
        <v>0</v>
      </c>
      <c r="AG38" s="3">
        <v>0</v>
      </c>
      <c r="AH38" s="3">
        <v>0</v>
      </c>
      <c r="AI38" s="3">
        <v>0</v>
      </c>
      <c r="AJ38" s="3">
        <v>0</v>
      </c>
    </row>
    <row r="39" spans="1:36" x14ac:dyDescent="0.2">
      <c r="A39" s="21"/>
      <c r="B39" s="37">
        <f>ROWS(B$25:B39)-1</f>
        <v>14</v>
      </c>
      <c r="C39" s="38"/>
      <c r="D39" s="39">
        <f>'Bay Sizes'!O3</f>
        <v>0</v>
      </c>
      <c r="E39" s="39">
        <f>'Bay Sizes'!O7</f>
        <v>0</v>
      </c>
      <c r="F39" s="40">
        <f t="shared" si="0"/>
        <v>0</v>
      </c>
      <c r="G39" s="3">
        <v>0</v>
      </c>
      <c r="H39" s="3">
        <v>0</v>
      </c>
      <c r="I39" s="3">
        <v>0</v>
      </c>
      <c r="J39" s="3">
        <v>0</v>
      </c>
      <c r="K39" s="3">
        <v>0</v>
      </c>
      <c r="L39" s="3">
        <v>0</v>
      </c>
      <c r="M39" s="3">
        <v>0</v>
      </c>
      <c r="N39" s="3">
        <v>0</v>
      </c>
      <c r="O39" s="3">
        <v>0</v>
      </c>
      <c r="P39" s="3">
        <v>0</v>
      </c>
      <c r="Q39" s="3">
        <v>0</v>
      </c>
      <c r="R39" s="3">
        <v>0</v>
      </c>
      <c r="S39" s="3">
        <v>0</v>
      </c>
      <c r="T39" s="3">
        <v>0</v>
      </c>
      <c r="U39" s="3">
        <v>0</v>
      </c>
      <c r="V39" s="3">
        <v>0</v>
      </c>
      <c r="W39" s="3">
        <v>0</v>
      </c>
      <c r="X39" s="3">
        <v>0</v>
      </c>
      <c r="Y39" s="3">
        <v>0</v>
      </c>
      <c r="Z39" s="3">
        <v>0</v>
      </c>
      <c r="AA39" s="3">
        <v>0</v>
      </c>
      <c r="AB39" s="3">
        <v>0</v>
      </c>
      <c r="AC39" s="3">
        <v>0</v>
      </c>
      <c r="AD39" s="3">
        <v>0</v>
      </c>
      <c r="AE39" s="3">
        <v>0</v>
      </c>
      <c r="AF39" s="3">
        <v>0</v>
      </c>
      <c r="AG39" s="3">
        <v>0</v>
      </c>
      <c r="AH39" s="3">
        <v>0</v>
      </c>
      <c r="AI39" s="3">
        <v>0</v>
      </c>
      <c r="AJ39" s="3">
        <v>0</v>
      </c>
    </row>
    <row r="40" spans="1:36" x14ac:dyDescent="0.2">
      <c r="A40" s="21"/>
      <c r="B40" s="37">
        <f>ROWS(B$25:B40)-1</f>
        <v>15</v>
      </c>
      <c r="C40" s="38"/>
      <c r="D40" s="39">
        <f>'Bay Sizes'!P3</f>
        <v>0</v>
      </c>
      <c r="E40" s="39">
        <f>'Bay Sizes'!P7</f>
        <v>0</v>
      </c>
      <c r="F40" s="40">
        <f t="shared" si="0"/>
        <v>0</v>
      </c>
      <c r="G40" s="3">
        <v>0</v>
      </c>
      <c r="H40" s="3">
        <v>0</v>
      </c>
      <c r="I40" s="3">
        <v>0</v>
      </c>
      <c r="J40" s="3">
        <v>0</v>
      </c>
      <c r="K40" s="3">
        <v>0</v>
      </c>
      <c r="L40" s="3">
        <v>0</v>
      </c>
      <c r="M40" s="3">
        <v>0</v>
      </c>
      <c r="N40" s="3">
        <v>0</v>
      </c>
      <c r="O40" s="3">
        <v>0</v>
      </c>
      <c r="P40" s="3">
        <v>0</v>
      </c>
      <c r="Q40" s="3">
        <v>0</v>
      </c>
      <c r="R40" s="3">
        <v>0</v>
      </c>
      <c r="S40" s="3">
        <v>0</v>
      </c>
      <c r="T40" s="3">
        <v>0</v>
      </c>
      <c r="U40" s="3">
        <v>0</v>
      </c>
      <c r="V40" s="3">
        <v>0</v>
      </c>
      <c r="W40" s="3">
        <v>0</v>
      </c>
      <c r="X40" s="3">
        <v>0</v>
      </c>
      <c r="Y40" s="3">
        <v>0</v>
      </c>
      <c r="Z40" s="3">
        <v>0</v>
      </c>
      <c r="AA40" s="3">
        <v>0</v>
      </c>
      <c r="AB40" s="3">
        <v>0</v>
      </c>
      <c r="AC40" s="3">
        <v>0</v>
      </c>
      <c r="AD40" s="3">
        <v>0</v>
      </c>
      <c r="AE40" s="3">
        <v>0</v>
      </c>
      <c r="AF40" s="3">
        <v>0</v>
      </c>
      <c r="AG40" s="3">
        <v>0</v>
      </c>
      <c r="AH40" s="3">
        <v>0</v>
      </c>
      <c r="AI40" s="3">
        <v>0</v>
      </c>
      <c r="AJ40" s="3">
        <v>0</v>
      </c>
    </row>
    <row r="41" spans="1:36" x14ac:dyDescent="0.2">
      <c r="A41" s="21"/>
      <c r="B41" s="37">
        <f>ROWS(B$25:B41)-1</f>
        <v>16</v>
      </c>
      <c r="C41" s="38"/>
      <c r="D41" s="39">
        <f>'Bay Sizes'!Q3</f>
        <v>0</v>
      </c>
      <c r="E41" s="39">
        <f>'Bay Sizes'!Q7</f>
        <v>0</v>
      </c>
      <c r="F41" s="40">
        <f t="shared" si="0"/>
        <v>0</v>
      </c>
      <c r="G41" s="3">
        <v>0</v>
      </c>
      <c r="H41" s="3">
        <v>0</v>
      </c>
      <c r="I41" s="3">
        <v>0</v>
      </c>
      <c r="J41" s="3">
        <v>0</v>
      </c>
      <c r="K41" s="3">
        <v>0</v>
      </c>
      <c r="L41" s="3">
        <v>0</v>
      </c>
      <c r="M41" s="3">
        <v>0</v>
      </c>
      <c r="N41" s="3">
        <v>0</v>
      </c>
      <c r="O41" s="3">
        <v>0</v>
      </c>
      <c r="P41" s="3">
        <v>0</v>
      </c>
      <c r="Q41" s="3">
        <v>0</v>
      </c>
      <c r="R41" s="3">
        <v>0</v>
      </c>
      <c r="S41" s="3">
        <v>0</v>
      </c>
      <c r="T41" s="3">
        <v>0</v>
      </c>
      <c r="U41" s="3">
        <v>0</v>
      </c>
      <c r="V41" s="3">
        <v>0</v>
      </c>
      <c r="W41" s="3">
        <v>0</v>
      </c>
      <c r="X41" s="3">
        <v>0</v>
      </c>
      <c r="Y41" s="3">
        <v>0</v>
      </c>
      <c r="Z41" s="3">
        <v>0</v>
      </c>
      <c r="AA41" s="3">
        <v>0</v>
      </c>
      <c r="AB41" s="3">
        <v>0</v>
      </c>
      <c r="AC41" s="3">
        <v>0</v>
      </c>
      <c r="AD41" s="3">
        <v>0</v>
      </c>
      <c r="AE41" s="3">
        <v>0</v>
      </c>
      <c r="AF41" s="3">
        <v>0</v>
      </c>
      <c r="AG41" s="3">
        <v>0</v>
      </c>
      <c r="AH41" s="3">
        <v>0</v>
      </c>
      <c r="AI41" s="3">
        <v>0</v>
      </c>
      <c r="AJ41" s="3">
        <v>0</v>
      </c>
    </row>
    <row r="42" spans="1:36" x14ac:dyDescent="0.2">
      <c r="A42" s="21"/>
      <c r="B42" s="37">
        <f>ROWS(B$25:B42)-1</f>
        <v>17</v>
      </c>
      <c r="C42" s="38"/>
      <c r="D42" s="39">
        <f>'Bay Sizes'!R3</f>
        <v>0</v>
      </c>
      <c r="E42" s="39">
        <f>'Bay Sizes'!R7</f>
        <v>0</v>
      </c>
      <c r="F42" s="40">
        <f t="shared" si="0"/>
        <v>0</v>
      </c>
      <c r="G42" s="3">
        <v>0</v>
      </c>
      <c r="H42" s="3">
        <v>0</v>
      </c>
      <c r="I42" s="3">
        <v>0</v>
      </c>
      <c r="J42" s="3">
        <v>0</v>
      </c>
      <c r="K42" s="3">
        <v>0</v>
      </c>
      <c r="L42" s="3">
        <v>0</v>
      </c>
      <c r="M42" s="3">
        <v>0</v>
      </c>
      <c r="N42" s="3">
        <v>0</v>
      </c>
      <c r="O42" s="3">
        <v>0</v>
      </c>
      <c r="P42" s="3">
        <v>0</v>
      </c>
      <c r="Q42" s="3">
        <v>0</v>
      </c>
      <c r="R42" s="3">
        <v>0</v>
      </c>
      <c r="S42" s="3">
        <v>0</v>
      </c>
      <c r="T42" s="3">
        <v>0</v>
      </c>
      <c r="U42" s="3">
        <v>0</v>
      </c>
      <c r="V42" s="3">
        <v>0</v>
      </c>
      <c r="W42" s="3">
        <v>0</v>
      </c>
      <c r="X42" s="3">
        <v>0</v>
      </c>
      <c r="Y42" s="3">
        <v>0</v>
      </c>
      <c r="Z42" s="3">
        <v>0</v>
      </c>
      <c r="AA42" s="3">
        <v>0</v>
      </c>
      <c r="AB42" s="3">
        <v>0</v>
      </c>
      <c r="AC42" s="3">
        <v>0</v>
      </c>
      <c r="AD42" s="3">
        <v>0</v>
      </c>
      <c r="AE42" s="3">
        <v>0</v>
      </c>
      <c r="AF42" s="3">
        <v>0</v>
      </c>
      <c r="AG42" s="3">
        <v>0</v>
      </c>
      <c r="AH42" s="3">
        <v>0</v>
      </c>
      <c r="AI42" s="3">
        <v>0</v>
      </c>
      <c r="AJ42" s="3">
        <v>0</v>
      </c>
    </row>
    <row r="43" spans="1:36" x14ac:dyDescent="0.2">
      <c r="A43" s="21"/>
      <c r="B43" s="37">
        <f>ROWS(B$25:B43)-1</f>
        <v>18</v>
      </c>
      <c r="C43" s="38"/>
      <c r="D43" s="39">
        <f>'Bay Sizes'!S3</f>
        <v>0</v>
      </c>
      <c r="E43" s="39">
        <f>'Bay Sizes'!S7</f>
        <v>0</v>
      </c>
      <c r="F43" s="40">
        <f t="shared" si="0"/>
        <v>0</v>
      </c>
      <c r="G43" s="3">
        <v>0</v>
      </c>
      <c r="H43" s="3">
        <v>0</v>
      </c>
      <c r="I43" s="3">
        <v>0</v>
      </c>
      <c r="J43" s="3">
        <v>0</v>
      </c>
      <c r="K43" s="3">
        <v>0</v>
      </c>
      <c r="L43" s="3">
        <v>0</v>
      </c>
      <c r="M43" s="3">
        <v>0</v>
      </c>
      <c r="N43" s="3">
        <v>0</v>
      </c>
      <c r="O43" s="3">
        <v>0</v>
      </c>
      <c r="P43" s="3">
        <v>0</v>
      </c>
      <c r="Q43" s="3">
        <v>0</v>
      </c>
      <c r="R43" s="3">
        <v>0</v>
      </c>
      <c r="S43" s="3">
        <v>0</v>
      </c>
      <c r="T43" s="3">
        <v>0</v>
      </c>
      <c r="U43" s="3">
        <v>0</v>
      </c>
      <c r="V43" s="3">
        <v>0</v>
      </c>
      <c r="W43" s="3">
        <v>0</v>
      </c>
      <c r="X43" s="3">
        <v>0</v>
      </c>
      <c r="Y43" s="3">
        <v>0</v>
      </c>
      <c r="Z43" s="3">
        <v>0</v>
      </c>
      <c r="AA43" s="3">
        <v>0</v>
      </c>
      <c r="AB43" s="3">
        <v>0</v>
      </c>
      <c r="AC43" s="3">
        <v>0</v>
      </c>
      <c r="AD43" s="3">
        <v>0</v>
      </c>
      <c r="AE43" s="3">
        <v>0</v>
      </c>
      <c r="AF43" s="3">
        <v>0</v>
      </c>
      <c r="AG43" s="3">
        <v>0</v>
      </c>
      <c r="AH43" s="3">
        <v>0</v>
      </c>
      <c r="AI43" s="3">
        <v>0</v>
      </c>
      <c r="AJ43" s="3">
        <v>0</v>
      </c>
    </row>
    <row r="44" spans="1:36" x14ac:dyDescent="0.2">
      <c r="A44" s="21"/>
      <c r="B44" s="37">
        <f>ROWS(B$25:B44)-1</f>
        <v>19</v>
      </c>
      <c r="C44" s="38"/>
      <c r="D44" s="39">
        <f>'Bay Sizes'!T3</f>
        <v>0</v>
      </c>
      <c r="E44" s="39">
        <f>'Bay Sizes'!T7</f>
        <v>0</v>
      </c>
      <c r="F44" s="40">
        <f t="shared" si="0"/>
        <v>0</v>
      </c>
      <c r="G44" s="3">
        <v>0</v>
      </c>
      <c r="H44" s="3">
        <v>0</v>
      </c>
      <c r="I44" s="3">
        <v>0</v>
      </c>
      <c r="J44" s="3">
        <v>0</v>
      </c>
      <c r="K44" s="3">
        <v>0</v>
      </c>
      <c r="L44" s="3">
        <v>0</v>
      </c>
      <c r="M44" s="3">
        <v>0</v>
      </c>
      <c r="N44" s="3">
        <v>0</v>
      </c>
      <c r="O44" s="3">
        <v>0</v>
      </c>
      <c r="P44" s="3">
        <v>0</v>
      </c>
      <c r="Q44" s="3">
        <v>0</v>
      </c>
      <c r="R44" s="3">
        <v>0</v>
      </c>
      <c r="S44" s="3">
        <v>0</v>
      </c>
      <c r="T44" s="3">
        <v>0</v>
      </c>
      <c r="U44" s="3">
        <v>0</v>
      </c>
      <c r="V44" s="3">
        <v>0</v>
      </c>
      <c r="W44" s="3">
        <v>0</v>
      </c>
      <c r="X44" s="3">
        <v>0</v>
      </c>
      <c r="Y44" s="3">
        <v>0</v>
      </c>
      <c r="Z44" s="3">
        <v>0</v>
      </c>
      <c r="AA44" s="3">
        <v>0</v>
      </c>
      <c r="AB44" s="3">
        <v>0</v>
      </c>
      <c r="AC44" s="3">
        <v>0</v>
      </c>
      <c r="AD44" s="3">
        <v>0</v>
      </c>
      <c r="AE44" s="3">
        <v>0</v>
      </c>
      <c r="AF44" s="3">
        <v>0</v>
      </c>
      <c r="AG44" s="3">
        <v>0</v>
      </c>
      <c r="AH44" s="3">
        <v>0</v>
      </c>
      <c r="AI44" s="3">
        <v>0</v>
      </c>
      <c r="AJ44" s="3">
        <v>0</v>
      </c>
    </row>
    <row r="45" spans="1:36" x14ac:dyDescent="0.2">
      <c r="A45" s="21"/>
      <c r="B45" s="37">
        <f>ROWS(B$25:B45)-1</f>
        <v>20</v>
      </c>
      <c r="C45" s="38"/>
      <c r="D45" s="39">
        <f>'Bay Sizes'!U3</f>
        <v>0</v>
      </c>
      <c r="E45" s="39">
        <f>'Bay Sizes'!U7</f>
        <v>0</v>
      </c>
      <c r="F45" s="40">
        <f t="shared" si="0"/>
        <v>0</v>
      </c>
      <c r="G45" s="3">
        <v>0</v>
      </c>
      <c r="H45" s="3">
        <v>0</v>
      </c>
      <c r="I45" s="3">
        <v>0</v>
      </c>
      <c r="J45" s="3">
        <v>0</v>
      </c>
      <c r="K45" s="3">
        <v>0</v>
      </c>
      <c r="L45" s="3">
        <v>0</v>
      </c>
      <c r="M45" s="3">
        <v>0</v>
      </c>
      <c r="N45" s="3">
        <v>0</v>
      </c>
      <c r="O45" s="3">
        <v>0</v>
      </c>
      <c r="P45" s="3">
        <v>0</v>
      </c>
      <c r="Q45" s="3">
        <v>0</v>
      </c>
      <c r="R45" s="3">
        <v>0</v>
      </c>
      <c r="S45" s="3">
        <v>0</v>
      </c>
      <c r="T45" s="3">
        <v>0</v>
      </c>
      <c r="U45" s="3">
        <v>0</v>
      </c>
      <c r="V45" s="3">
        <v>0</v>
      </c>
      <c r="W45" s="3">
        <v>0</v>
      </c>
      <c r="X45" s="3">
        <v>0</v>
      </c>
      <c r="Y45" s="3">
        <v>0</v>
      </c>
      <c r="Z45" s="3">
        <v>0</v>
      </c>
      <c r="AA45" s="3">
        <v>0</v>
      </c>
      <c r="AB45" s="3">
        <v>0</v>
      </c>
      <c r="AC45" s="3">
        <v>0</v>
      </c>
      <c r="AD45" s="3">
        <v>0</v>
      </c>
      <c r="AE45" s="3">
        <v>0</v>
      </c>
      <c r="AF45" s="3">
        <v>0</v>
      </c>
      <c r="AG45" s="3">
        <v>0</v>
      </c>
      <c r="AH45" s="3">
        <v>0</v>
      </c>
      <c r="AI45" s="3">
        <v>0</v>
      </c>
      <c r="AJ45" s="3">
        <v>0</v>
      </c>
    </row>
    <row r="46" spans="1:36" x14ac:dyDescent="0.2">
      <c r="A46" s="21"/>
      <c r="B46" s="37">
        <f>ROWS(B$25:B46)-1</f>
        <v>21</v>
      </c>
      <c r="C46" s="38"/>
      <c r="D46" s="39">
        <f>'Bay Sizes'!V3</f>
        <v>0</v>
      </c>
      <c r="E46" s="39">
        <f>'Bay Sizes'!W7</f>
        <v>0</v>
      </c>
      <c r="F46" s="40">
        <f t="shared" si="0"/>
        <v>0</v>
      </c>
      <c r="G46" s="3">
        <v>0</v>
      </c>
      <c r="H46" s="3">
        <v>0</v>
      </c>
      <c r="I46" s="3">
        <v>0</v>
      </c>
      <c r="J46" s="3">
        <v>0</v>
      </c>
      <c r="K46" s="3">
        <v>0</v>
      </c>
      <c r="L46" s="3">
        <v>0</v>
      </c>
      <c r="M46" s="3">
        <v>0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3">
        <v>0</v>
      </c>
      <c r="T46" s="3">
        <v>0</v>
      </c>
      <c r="U46" s="3">
        <v>0</v>
      </c>
      <c r="V46" s="3">
        <v>0</v>
      </c>
      <c r="W46" s="3">
        <v>0</v>
      </c>
      <c r="X46" s="3">
        <v>0</v>
      </c>
      <c r="Y46" s="3">
        <v>0</v>
      </c>
      <c r="Z46" s="3">
        <v>0</v>
      </c>
      <c r="AA46" s="3">
        <v>0</v>
      </c>
      <c r="AB46" s="3">
        <v>0</v>
      </c>
      <c r="AC46" s="3">
        <v>0</v>
      </c>
      <c r="AD46" s="3">
        <v>0</v>
      </c>
      <c r="AE46" s="3">
        <v>0</v>
      </c>
      <c r="AF46" s="3">
        <v>0</v>
      </c>
      <c r="AG46" s="3">
        <v>0</v>
      </c>
      <c r="AH46" s="3">
        <v>0</v>
      </c>
      <c r="AI46" s="3">
        <v>0</v>
      </c>
      <c r="AJ46" s="3">
        <v>0</v>
      </c>
    </row>
    <row r="47" spans="1:36" x14ac:dyDescent="0.2">
      <c r="A47" s="21"/>
      <c r="B47" s="37">
        <f>ROWS(B$25:B47)-1</f>
        <v>22</v>
      </c>
      <c r="C47" s="38"/>
      <c r="D47" s="39">
        <f>'Bay Sizes'!W3</f>
        <v>0</v>
      </c>
      <c r="E47" s="39">
        <f>'Bay Sizes'!X7</f>
        <v>0</v>
      </c>
      <c r="F47" s="40">
        <f t="shared" si="0"/>
        <v>0</v>
      </c>
      <c r="G47" s="3">
        <v>0</v>
      </c>
      <c r="H47" s="3">
        <v>0</v>
      </c>
      <c r="I47" s="3">
        <v>0</v>
      </c>
      <c r="J47" s="3">
        <v>0</v>
      </c>
      <c r="K47" s="3">
        <v>0</v>
      </c>
      <c r="L47" s="3">
        <v>0</v>
      </c>
      <c r="M47" s="3">
        <v>0</v>
      </c>
      <c r="N47" s="3">
        <v>0</v>
      </c>
      <c r="O47" s="3">
        <v>0</v>
      </c>
      <c r="P47" s="3">
        <v>0</v>
      </c>
      <c r="Q47" s="3">
        <v>0</v>
      </c>
      <c r="R47" s="3">
        <v>0</v>
      </c>
      <c r="S47" s="3">
        <v>0</v>
      </c>
      <c r="T47" s="3">
        <v>0</v>
      </c>
      <c r="U47" s="3">
        <v>0</v>
      </c>
      <c r="V47" s="3">
        <v>0</v>
      </c>
      <c r="W47" s="3">
        <v>0</v>
      </c>
      <c r="X47" s="3">
        <v>0</v>
      </c>
      <c r="Y47" s="3">
        <v>0</v>
      </c>
      <c r="Z47" s="3">
        <v>0</v>
      </c>
      <c r="AA47" s="3">
        <v>0</v>
      </c>
      <c r="AB47" s="3">
        <v>0</v>
      </c>
      <c r="AC47" s="3">
        <v>0</v>
      </c>
      <c r="AD47" s="3">
        <v>0</v>
      </c>
      <c r="AE47" s="3">
        <v>0</v>
      </c>
      <c r="AF47" s="3">
        <v>0</v>
      </c>
      <c r="AG47" s="3">
        <v>0</v>
      </c>
      <c r="AH47" s="3">
        <v>0</v>
      </c>
      <c r="AI47" s="3">
        <v>0</v>
      </c>
      <c r="AJ47" s="3">
        <v>0</v>
      </c>
    </row>
    <row r="48" spans="1:36" x14ac:dyDescent="0.2">
      <c r="A48" s="21"/>
      <c r="B48" s="37">
        <f>ROWS(B$25:B48)-1</f>
        <v>23</v>
      </c>
      <c r="C48" s="38"/>
      <c r="D48" s="39">
        <f>'Bay Sizes'!X3</f>
        <v>0</v>
      </c>
      <c r="E48" s="39">
        <f>'Bay Sizes'!Y7</f>
        <v>0</v>
      </c>
      <c r="F48" s="40">
        <f t="shared" si="0"/>
        <v>0</v>
      </c>
      <c r="G48" s="3">
        <v>0</v>
      </c>
      <c r="H48" s="3">
        <v>0</v>
      </c>
      <c r="I48" s="3">
        <v>0</v>
      </c>
      <c r="J48" s="3">
        <v>0</v>
      </c>
      <c r="K48" s="3">
        <v>0</v>
      </c>
      <c r="L48" s="3">
        <v>0</v>
      </c>
      <c r="M48" s="3">
        <v>0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3">
        <v>0</v>
      </c>
      <c r="T48" s="3">
        <v>0</v>
      </c>
      <c r="U48" s="3">
        <v>0</v>
      </c>
      <c r="V48" s="3">
        <v>0</v>
      </c>
      <c r="W48" s="3">
        <v>0</v>
      </c>
      <c r="X48" s="3">
        <v>0</v>
      </c>
      <c r="Y48" s="3">
        <v>0</v>
      </c>
      <c r="Z48" s="3">
        <v>0</v>
      </c>
      <c r="AA48" s="3">
        <v>0</v>
      </c>
      <c r="AB48" s="3">
        <v>0</v>
      </c>
      <c r="AC48" s="3">
        <v>0</v>
      </c>
      <c r="AD48" s="3">
        <v>0</v>
      </c>
      <c r="AE48" s="3">
        <v>0</v>
      </c>
      <c r="AF48" s="3">
        <v>0</v>
      </c>
      <c r="AG48" s="3">
        <v>0</v>
      </c>
      <c r="AH48" s="3">
        <v>0</v>
      </c>
      <c r="AI48" s="3">
        <v>0</v>
      </c>
      <c r="AJ48" s="3">
        <v>0</v>
      </c>
    </row>
    <row r="49" spans="1:36" x14ac:dyDescent="0.2">
      <c r="A49" s="21"/>
      <c r="B49" s="37">
        <f>ROWS(B$25:B49)-1</f>
        <v>24</v>
      </c>
      <c r="C49" s="38"/>
      <c r="D49" s="39">
        <f>'Bay Sizes'!Y3</f>
        <v>0</v>
      </c>
      <c r="E49" s="39">
        <f>'Bay Sizes'!Z7</f>
        <v>0</v>
      </c>
      <c r="F49" s="40">
        <f t="shared" si="0"/>
        <v>0</v>
      </c>
      <c r="G49" s="3">
        <v>0</v>
      </c>
      <c r="H49" s="3">
        <v>0</v>
      </c>
      <c r="I49" s="3">
        <v>0</v>
      </c>
      <c r="J49" s="3">
        <v>0</v>
      </c>
      <c r="K49" s="3">
        <v>0</v>
      </c>
      <c r="L49" s="3">
        <v>0</v>
      </c>
      <c r="M49" s="3">
        <v>0</v>
      </c>
      <c r="N49" s="3">
        <v>0</v>
      </c>
      <c r="O49" s="3">
        <v>0</v>
      </c>
      <c r="P49" s="3">
        <v>0</v>
      </c>
      <c r="Q49" s="3">
        <v>0</v>
      </c>
      <c r="R49" s="3">
        <v>0</v>
      </c>
      <c r="S49" s="3">
        <v>0</v>
      </c>
      <c r="T49" s="3">
        <v>0</v>
      </c>
      <c r="U49" s="3">
        <v>0</v>
      </c>
      <c r="V49" s="3">
        <v>0</v>
      </c>
      <c r="W49" s="3">
        <v>0</v>
      </c>
      <c r="X49" s="3">
        <v>0</v>
      </c>
      <c r="Y49" s="3">
        <v>0</v>
      </c>
      <c r="Z49" s="3">
        <v>0</v>
      </c>
      <c r="AA49" s="3">
        <v>0</v>
      </c>
      <c r="AB49" s="3">
        <v>0</v>
      </c>
      <c r="AC49" s="3">
        <v>0</v>
      </c>
      <c r="AD49" s="3">
        <v>0</v>
      </c>
      <c r="AE49" s="3">
        <v>0</v>
      </c>
      <c r="AF49" s="3">
        <v>0</v>
      </c>
      <c r="AG49" s="3">
        <v>0</v>
      </c>
      <c r="AH49" s="3">
        <v>0</v>
      </c>
      <c r="AI49" s="3">
        <v>0</v>
      </c>
      <c r="AJ49" s="3">
        <v>0</v>
      </c>
    </row>
    <row r="50" spans="1:36" x14ac:dyDescent="0.2">
      <c r="A50" s="21"/>
      <c r="B50" s="37">
        <f>ROWS(B$25:B50)-1</f>
        <v>25</v>
      </c>
      <c r="C50" s="38"/>
      <c r="D50" s="39">
        <f>'Bay Sizes'!Z3</f>
        <v>0</v>
      </c>
      <c r="E50" s="39">
        <f>'Bay Sizes'!AA7</f>
        <v>0</v>
      </c>
      <c r="F50" s="40">
        <f t="shared" si="0"/>
        <v>0</v>
      </c>
      <c r="G50" s="3">
        <v>0</v>
      </c>
      <c r="H50" s="3">
        <v>0</v>
      </c>
      <c r="I50" s="3">
        <v>0</v>
      </c>
      <c r="J50" s="3">
        <v>0</v>
      </c>
      <c r="K50" s="3">
        <v>0</v>
      </c>
      <c r="L50" s="3">
        <v>0</v>
      </c>
      <c r="M50" s="3">
        <v>0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3">
        <v>0</v>
      </c>
      <c r="T50" s="3">
        <v>0</v>
      </c>
      <c r="U50" s="3">
        <v>0</v>
      </c>
      <c r="V50" s="3">
        <v>0</v>
      </c>
      <c r="W50" s="3">
        <v>0</v>
      </c>
      <c r="X50" s="3">
        <v>0</v>
      </c>
      <c r="Y50" s="3">
        <v>0</v>
      </c>
      <c r="Z50" s="3">
        <v>0</v>
      </c>
      <c r="AA50" s="3">
        <v>0</v>
      </c>
      <c r="AB50" s="3">
        <v>0</v>
      </c>
      <c r="AC50" s="3">
        <v>0</v>
      </c>
      <c r="AD50" s="3">
        <v>0</v>
      </c>
      <c r="AE50" s="3">
        <v>0</v>
      </c>
      <c r="AF50" s="3">
        <v>0</v>
      </c>
      <c r="AG50" s="3">
        <v>0</v>
      </c>
      <c r="AH50" s="3">
        <v>0</v>
      </c>
      <c r="AI50" s="3">
        <v>0</v>
      </c>
      <c r="AJ50" s="3">
        <v>0</v>
      </c>
    </row>
    <row r="51" spans="1:36" x14ac:dyDescent="0.2">
      <c r="B51" s="37">
        <f>ROWS(B$25:B51)-1</f>
        <v>26</v>
      </c>
      <c r="C51" s="38"/>
      <c r="D51" s="39">
        <f>'Bay Sizes'!AA3</f>
        <v>0</v>
      </c>
      <c r="E51" s="39">
        <f>'Bay Sizes'!AB7</f>
        <v>0</v>
      </c>
      <c r="F51" s="40">
        <f t="shared" si="0"/>
        <v>0</v>
      </c>
      <c r="G51" s="3">
        <v>0</v>
      </c>
      <c r="H51" s="3">
        <v>0</v>
      </c>
      <c r="I51" s="3">
        <v>0</v>
      </c>
      <c r="J51" s="3">
        <v>0</v>
      </c>
      <c r="K51" s="3">
        <v>0</v>
      </c>
      <c r="L51" s="3">
        <v>0</v>
      </c>
      <c r="M51" s="3">
        <v>0</v>
      </c>
      <c r="N51" s="3">
        <v>0</v>
      </c>
      <c r="O51" s="3">
        <v>0</v>
      </c>
      <c r="P51" s="3">
        <v>0</v>
      </c>
      <c r="Q51" s="3">
        <v>0</v>
      </c>
      <c r="R51" s="3">
        <v>0</v>
      </c>
      <c r="S51" s="3">
        <v>0</v>
      </c>
      <c r="T51" s="3">
        <v>0</v>
      </c>
      <c r="U51" s="3">
        <v>0</v>
      </c>
      <c r="V51" s="3">
        <v>0</v>
      </c>
      <c r="W51" s="3">
        <v>0</v>
      </c>
      <c r="X51" s="3">
        <v>0</v>
      </c>
      <c r="Y51" s="3">
        <v>0</v>
      </c>
      <c r="Z51" s="3">
        <v>0</v>
      </c>
      <c r="AA51" s="3">
        <v>0</v>
      </c>
      <c r="AB51" s="3">
        <v>0</v>
      </c>
      <c r="AC51" s="3">
        <v>0</v>
      </c>
      <c r="AD51" s="3">
        <v>0</v>
      </c>
      <c r="AE51" s="3">
        <v>0</v>
      </c>
      <c r="AF51" s="3">
        <v>0</v>
      </c>
      <c r="AG51" s="3">
        <v>0</v>
      </c>
      <c r="AH51" s="3">
        <v>0</v>
      </c>
      <c r="AI51" s="3">
        <v>0</v>
      </c>
      <c r="AJ51" s="3">
        <v>0</v>
      </c>
    </row>
    <row r="52" spans="1:36" x14ac:dyDescent="0.2">
      <c r="B52" s="37">
        <f>ROWS(B$25:B52)-1</f>
        <v>27</v>
      </c>
      <c r="C52" s="38"/>
      <c r="D52" s="39">
        <f>'Bay Sizes'!AB3</f>
        <v>0</v>
      </c>
      <c r="E52" s="39">
        <f>'Bay Sizes'!AC7</f>
        <v>0</v>
      </c>
      <c r="F52" s="40">
        <f t="shared" si="0"/>
        <v>0</v>
      </c>
      <c r="G52" s="3">
        <v>0</v>
      </c>
      <c r="H52" s="3">
        <v>0</v>
      </c>
      <c r="I52" s="3">
        <v>0</v>
      </c>
      <c r="J52" s="3">
        <v>0</v>
      </c>
      <c r="K52" s="3">
        <v>0</v>
      </c>
      <c r="L52" s="3">
        <v>0</v>
      </c>
      <c r="M52" s="3">
        <v>0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3">
        <v>0</v>
      </c>
      <c r="T52" s="3">
        <v>0</v>
      </c>
      <c r="U52" s="3">
        <v>0</v>
      </c>
      <c r="V52" s="3">
        <v>0</v>
      </c>
      <c r="W52" s="3">
        <v>0</v>
      </c>
      <c r="X52" s="3">
        <v>0</v>
      </c>
      <c r="Y52" s="3">
        <v>0</v>
      </c>
      <c r="Z52" s="3">
        <v>0</v>
      </c>
      <c r="AA52" s="3">
        <v>0</v>
      </c>
      <c r="AB52" s="3">
        <v>0</v>
      </c>
      <c r="AC52" s="3">
        <v>0</v>
      </c>
      <c r="AD52" s="3">
        <v>0</v>
      </c>
      <c r="AE52" s="3">
        <v>0</v>
      </c>
      <c r="AF52" s="3">
        <v>0</v>
      </c>
      <c r="AG52" s="3">
        <v>0</v>
      </c>
      <c r="AH52" s="3">
        <v>0</v>
      </c>
      <c r="AI52" s="3">
        <v>0</v>
      </c>
      <c r="AJ52" s="3">
        <v>0</v>
      </c>
    </row>
    <row r="53" spans="1:36" x14ac:dyDescent="0.2">
      <c r="B53" s="37">
        <f>ROWS(B$25:B53)-1</f>
        <v>28</v>
      </c>
      <c r="C53" s="38"/>
      <c r="D53" s="39">
        <f>'Bay Sizes'!AC3</f>
        <v>0</v>
      </c>
      <c r="E53" s="39">
        <f>'Bay Sizes'!AD7</f>
        <v>0</v>
      </c>
      <c r="F53" s="40">
        <f t="shared" si="0"/>
        <v>0</v>
      </c>
      <c r="G53" s="3">
        <v>0</v>
      </c>
      <c r="H53" s="3">
        <v>0</v>
      </c>
      <c r="I53" s="3">
        <v>0</v>
      </c>
      <c r="J53" s="3">
        <v>0</v>
      </c>
      <c r="K53" s="3">
        <v>0</v>
      </c>
      <c r="L53" s="3">
        <v>0</v>
      </c>
      <c r="M53" s="3">
        <v>0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  <c r="S53" s="3">
        <v>0</v>
      </c>
      <c r="T53" s="3">
        <v>0</v>
      </c>
      <c r="U53" s="3">
        <v>0</v>
      </c>
      <c r="V53" s="3">
        <v>0</v>
      </c>
      <c r="W53" s="3">
        <v>0</v>
      </c>
      <c r="X53" s="3">
        <v>0</v>
      </c>
      <c r="Y53" s="3">
        <v>0</v>
      </c>
      <c r="Z53" s="3">
        <v>0</v>
      </c>
      <c r="AA53" s="3">
        <v>0</v>
      </c>
      <c r="AB53" s="3">
        <v>0</v>
      </c>
      <c r="AC53" s="3">
        <v>0</v>
      </c>
      <c r="AD53" s="3">
        <v>0</v>
      </c>
      <c r="AE53" s="3">
        <v>0</v>
      </c>
      <c r="AF53" s="3">
        <v>0</v>
      </c>
      <c r="AG53" s="3">
        <v>0</v>
      </c>
      <c r="AH53" s="3">
        <v>0</v>
      </c>
      <c r="AI53" s="3">
        <v>0</v>
      </c>
      <c r="AJ53" s="3">
        <v>0</v>
      </c>
    </row>
    <row r="54" spans="1:36" x14ac:dyDescent="0.2">
      <c r="B54" s="37">
        <f>ROWS(B$25:B54)-1</f>
        <v>29</v>
      </c>
      <c r="C54" s="38"/>
      <c r="D54" s="39">
        <f>'Bay Sizes'!AD3</f>
        <v>0</v>
      </c>
      <c r="E54" s="39">
        <f>'Bay Sizes'!AE7</f>
        <v>0</v>
      </c>
      <c r="F54" s="40">
        <f t="shared" si="0"/>
        <v>0</v>
      </c>
      <c r="G54" s="3">
        <v>0</v>
      </c>
      <c r="H54" s="3">
        <v>0</v>
      </c>
      <c r="I54" s="3">
        <v>0</v>
      </c>
      <c r="J54" s="3">
        <v>0</v>
      </c>
      <c r="K54" s="3">
        <v>0</v>
      </c>
      <c r="L54" s="3">
        <v>0</v>
      </c>
      <c r="M54" s="3">
        <v>0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3">
        <v>0</v>
      </c>
      <c r="T54" s="3">
        <v>0</v>
      </c>
      <c r="U54" s="3">
        <v>0</v>
      </c>
      <c r="V54" s="3">
        <v>0</v>
      </c>
      <c r="W54" s="3">
        <v>0</v>
      </c>
      <c r="X54" s="3">
        <v>0</v>
      </c>
      <c r="Y54" s="3">
        <v>0</v>
      </c>
      <c r="Z54" s="3">
        <v>0</v>
      </c>
      <c r="AA54" s="3">
        <v>0</v>
      </c>
      <c r="AB54" s="3">
        <v>0</v>
      </c>
      <c r="AC54" s="3">
        <v>0</v>
      </c>
      <c r="AD54" s="3">
        <v>0</v>
      </c>
      <c r="AE54" s="3">
        <v>0</v>
      </c>
      <c r="AF54" s="3">
        <v>0</v>
      </c>
      <c r="AG54" s="3">
        <v>0</v>
      </c>
      <c r="AH54" s="3">
        <v>0</v>
      </c>
      <c r="AI54" s="3">
        <v>0</v>
      </c>
      <c r="AJ54" s="3">
        <v>0</v>
      </c>
    </row>
    <row r="55" spans="1:36" x14ac:dyDescent="0.2">
      <c r="B55" s="37">
        <f>ROWS(B$25:B55)-1</f>
        <v>30</v>
      </c>
      <c r="C55" s="38"/>
      <c r="D55" s="39">
        <f>'Bay Sizes'!AE3</f>
        <v>0</v>
      </c>
      <c r="E55" s="39">
        <f>'Bay Sizes'!AF7</f>
        <v>0</v>
      </c>
      <c r="F55" s="40">
        <f t="shared" si="0"/>
        <v>0</v>
      </c>
      <c r="G55" s="3">
        <v>0</v>
      </c>
      <c r="H55" s="3">
        <v>0</v>
      </c>
      <c r="I55" s="3">
        <v>0</v>
      </c>
      <c r="J55" s="3">
        <v>0</v>
      </c>
      <c r="K55" s="3">
        <v>0</v>
      </c>
      <c r="L55" s="3">
        <v>0</v>
      </c>
      <c r="M55" s="3">
        <v>0</v>
      </c>
      <c r="N55" s="3">
        <v>0</v>
      </c>
      <c r="O55" s="3">
        <v>0</v>
      </c>
      <c r="P55" s="3">
        <v>0</v>
      </c>
      <c r="Q55" s="3">
        <v>0</v>
      </c>
      <c r="R55" s="3">
        <v>0</v>
      </c>
      <c r="S55" s="3">
        <v>0</v>
      </c>
      <c r="T55" s="3">
        <v>0</v>
      </c>
      <c r="U55" s="3">
        <v>0</v>
      </c>
      <c r="V55" s="3">
        <v>0</v>
      </c>
      <c r="W55" s="3">
        <v>0</v>
      </c>
      <c r="X55" s="3">
        <v>0</v>
      </c>
      <c r="Y55" s="3">
        <v>0</v>
      </c>
      <c r="Z55" s="3">
        <v>0</v>
      </c>
      <c r="AA55" s="3">
        <v>0</v>
      </c>
      <c r="AB55" s="3">
        <v>0</v>
      </c>
      <c r="AC55" s="3">
        <v>0</v>
      </c>
      <c r="AD55" s="3">
        <v>0</v>
      </c>
      <c r="AE55" s="3">
        <v>0</v>
      </c>
      <c r="AF55" s="3">
        <v>0</v>
      </c>
      <c r="AG55" s="3">
        <v>0</v>
      </c>
      <c r="AH55" s="3">
        <v>0</v>
      </c>
      <c r="AI55" s="3">
        <v>0</v>
      </c>
      <c r="AJ55" s="3">
        <v>0</v>
      </c>
    </row>
    <row r="56" spans="1:36" x14ac:dyDescent="0.2">
      <c r="B56" s="37">
        <f>ROWS(B$25:B56)-1</f>
        <v>31</v>
      </c>
      <c r="C56" s="38"/>
      <c r="D56" s="39">
        <f>'Bay Sizes'!AF3</f>
        <v>0</v>
      </c>
      <c r="E56" s="39">
        <f>'Bay Sizes'!AG7</f>
        <v>0</v>
      </c>
      <c r="F56" s="40">
        <f t="shared" si="0"/>
        <v>0</v>
      </c>
      <c r="G56" s="3">
        <v>0</v>
      </c>
      <c r="H56" s="3">
        <v>0</v>
      </c>
      <c r="I56" s="3">
        <v>0</v>
      </c>
      <c r="J56" s="3">
        <v>0</v>
      </c>
      <c r="K56" s="3">
        <v>0</v>
      </c>
      <c r="L56" s="3">
        <v>0</v>
      </c>
      <c r="M56" s="3">
        <v>0</v>
      </c>
      <c r="N56" s="3">
        <v>0</v>
      </c>
      <c r="O56" s="3">
        <v>0</v>
      </c>
      <c r="P56" s="3">
        <v>0</v>
      </c>
      <c r="Q56" s="3">
        <v>0</v>
      </c>
      <c r="R56" s="3">
        <v>0</v>
      </c>
      <c r="S56" s="3">
        <v>0</v>
      </c>
      <c r="T56" s="3">
        <v>0</v>
      </c>
      <c r="U56" s="3">
        <v>0</v>
      </c>
      <c r="V56" s="3">
        <v>0</v>
      </c>
      <c r="W56" s="3">
        <v>0</v>
      </c>
      <c r="X56" s="3">
        <v>0</v>
      </c>
      <c r="Y56" s="3">
        <v>0</v>
      </c>
      <c r="Z56" s="3">
        <v>0</v>
      </c>
      <c r="AA56" s="3">
        <v>0</v>
      </c>
      <c r="AB56" s="3">
        <v>0</v>
      </c>
      <c r="AC56" s="3">
        <v>0</v>
      </c>
      <c r="AD56" s="3">
        <v>0</v>
      </c>
      <c r="AE56" s="3">
        <v>0</v>
      </c>
      <c r="AF56" s="3">
        <v>0</v>
      </c>
      <c r="AG56" s="3">
        <v>0</v>
      </c>
      <c r="AH56" s="3">
        <v>0</v>
      </c>
      <c r="AI56" s="3">
        <v>0</v>
      </c>
      <c r="AJ56" s="3">
        <v>0</v>
      </c>
    </row>
    <row r="57" spans="1:36" x14ac:dyDescent="0.2">
      <c r="B57" s="37">
        <f>ROWS(B$25:B57)-1</f>
        <v>32</v>
      </c>
      <c r="C57" s="38"/>
      <c r="D57" s="39">
        <f>'Bay Sizes'!AG3</f>
        <v>0</v>
      </c>
      <c r="E57" s="39">
        <f>'Bay Sizes'!AH7</f>
        <v>0</v>
      </c>
      <c r="F57" s="40">
        <f t="shared" si="0"/>
        <v>0</v>
      </c>
      <c r="G57" s="3">
        <v>0</v>
      </c>
      <c r="H57" s="3">
        <v>0</v>
      </c>
      <c r="I57" s="3">
        <v>0</v>
      </c>
      <c r="J57" s="3">
        <v>0</v>
      </c>
      <c r="K57" s="3">
        <v>0</v>
      </c>
      <c r="L57" s="3">
        <v>0</v>
      </c>
      <c r="M57" s="3">
        <v>0</v>
      </c>
      <c r="N57" s="3">
        <v>0</v>
      </c>
      <c r="O57" s="3">
        <v>0</v>
      </c>
      <c r="P57" s="3">
        <v>0</v>
      </c>
      <c r="Q57" s="3">
        <v>0</v>
      </c>
      <c r="R57" s="3">
        <v>0</v>
      </c>
      <c r="S57" s="3">
        <v>0</v>
      </c>
      <c r="T57" s="3">
        <v>0</v>
      </c>
      <c r="U57" s="3">
        <v>0</v>
      </c>
      <c r="V57" s="3">
        <v>0</v>
      </c>
      <c r="W57" s="3">
        <v>0</v>
      </c>
      <c r="X57" s="3">
        <v>0</v>
      </c>
      <c r="Y57" s="3">
        <v>0</v>
      </c>
      <c r="Z57" s="3">
        <v>0</v>
      </c>
      <c r="AA57" s="3">
        <v>0</v>
      </c>
      <c r="AB57" s="3">
        <v>0</v>
      </c>
      <c r="AC57" s="3">
        <v>0</v>
      </c>
      <c r="AD57" s="3">
        <v>0</v>
      </c>
      <c r="AE57" s="3">
        <v>0</v>
      </c>
      <c r="AF57" s="3">
        <v>0</v>
      </c>
      <c r="AG57" s="3">
        <v>0</v>
      </c>
      <c r="AH57" s="3">
        <v>0</v>
      </c>
      <c r="AI57" s="3">
        <v>0</v>
      </c>
      <c r="AJ57" s="3">
        <v>0</v>
      </c>
    </row>
    <row r="58" spans="1:36" x14ac:dyDescent="0.2">
      <c r="B58" s="37">
        <f>ROWS(B$25:B58)-1</f>
        <v>33</v>
      </c>
      <c r="C58" s="38"/>
      <c r="D58" s="39">
        <f>'Bay Sizes'!AH3</f>
        <v>0</v>
      </c>
      <c r="E58" s="39">
        <f>'Bay Sizes'!AI7</f>
        <v>0</v>
      </c>
      <c r="F58" s="40">
        <f t="shared" si="0"/>
        <v>0</v>
      </c>
      <c r="G58" s="3">
        <v>0</v>
      </c>
      <c r="H58" s="3">
        <v>0</v>
      </c>
      <c r="I58" s="3">
        <v>0</v>
      </c>
      <c r="J58" s="3">
        <v>0</v>
      </c>
      <c r="K58" s="3">
        <v>0</v>
      </c>
      <c r="L58" s="3">
        <v>0</v>
      </c>
      <c r="M58" s="3">
        <v>0</v>
      </c>
      <c r="N58" s="3">
        <v>0</v>
      </c>
      <c r="O58" s="3">
        <v>0</v>
      </c>
      <c r="P58" s="3">
        <v>0</v>
      </c>
      <c r="Q58" s="3">
        <v>0</v>
      </c>
      <c r="R58" s="3">
        <v>0</v>
      </c>
      <c r="S58" s="3">
        <v>0</v>
      </c>
      <c r="T58" s="3">
        <v>0</v>
      </c>
      <c r="U58" s="3">
        <v>0</v>
      </c>
      <c r="V58" s="3">
        <v>0</v>
      </c>
      <c r="W58" s="3">
        <v>0</v>
      </c>
      <c r="X58" s="3">
        <v>0</v>
      </c>
      <c r="Y58" s="3">
        <v>0</v>
      </c>
      <c r="Z58" s="3">
        <v>0</v>
      </c>
      <c r="AA58" s="3">
        <v>0</v>
      </c>
      <c r="AB58" s="3">
        <v>0</v>
      </c>
      <c r="AC58" s="3">
        <v>0</v>
      </c>
      <c r="AD58" s="3">
        <v>0</v>
      </c>
      <c r="AE58" s="3">
        <v>0</v>
      </c>
      <c r="AF58" s="3">
        <v>0</v>
      </c>
      <c r="AG58" s="3">
        <v>0</v>
      </c>
      <c r="AH58" s="3">
        <v>0</v>
      </c>
      <c r="AI58" s="3">
        <v>0</v>
      </c>
      <c r="AJ58" s="3">
        <v>0</v>
      </c>
    </row>
    <row r="59" spans="1:36" x14ac:dyDescent="0.2">
      <c r="B59" s="37">
        <f>ROWS(B$25:B59)-1</f>
        <v>34</v>
      </c>
      <c r="C59" s="38"/>
      <c r="D59" s="39">
        <f>'Bay Sizes'!AI3</f>
        <v>0</v>
      </c>
      <c r="E59" s="39">
        <f>'Bay Sizes'!AJ7</f>
        <v>0</v>
      </c>
      <c r="F59" s="40">
        <f t="shared" si="0"/>
        <v>0</v>
      </c>
      <c r="G59" s="3">
        <v>0</v>
      </c>
      <c r="H59" s="3">
        <v>0</v>
      </c>
      <c r="I59" s="3">
        <v>0</v>
      </c>
      <c r="J59" s="3">
        <v>0</v>
      </c>
      <c r="K59" s="3">
        <v>0</v>
      </c>
      <c r="L59" s="3">
        <v>0</v>
      </c>
      <c r="M59" s="3">
        <v>0</v>
      </c>
      <c r="N59" s="3">
        <v>0</v>
      </c>
      <c r="O59" s="3">
        <v>0</v>
      </c>
      <c r="P59" s="3">
        <v>0</v>
      </c>
      <c r="Q59" s="3">
        <v>0</v>
      </c>
      <c r="R59" s="3">
        <v>0</v>
      </c>
      <c r="S59" s="3">
        <v>0</v>
      </c>
      <c r="T59" s="3">
        <v>0</v>
      </c>
      <c r="U59" s="3">
        <v>0</v>
      </c>
      <c r="V59" s="3">
        <v>0</v>
      </c>
      <c r="W59" s="3">
        <v>0</v>
      </c>
      <c r="X59" s="3">
        <v>0</v>
      </c>
      <c r="Y59" s="3">
        <v>0</v>
      </c>
      <c r="Z59" s="3">
        <v>0</v>
      </c>
      <c r="AA59" s="3">
        <v>0</v>
      </c>
      <c r="AB59" s="3">
        <v>0</v>
      </c>
      <c r="AC59" s="3">
        <v>0</v>
      </c>
      <c r="AD59" s="3">
        <v>0</v>
      </c>
      <c r="AE59" s="3">
        <v>0</v>
      </c>
      <c r="AF59" s="3">
        <v>0</v>
      </c>
      <c r="AG59" s="3">
        <v>0</v>
      </c>
      <c r="AH59" s="3">
        <v>0</v>
      </c>
      <c r="AI59" s="3">
        <v>0</v>
      </c>
      <c r="AJ59" s="3">
        <v>0</v>
      </c>
    </row>
    <row r="60" spans="1:36" x14ac:dyDescent="0.2">
      <c r="B60" s="37">
        <f>ROWS(B$25:B60)-1</f>
        <v>35</v>
      </c>
      <c r="C60" s="38"/>
      <c r="D60" s="39">
        <f>'Bay Sizes'!AJ3</f>
        <v>0</v>
      </c>
      <c r="E60" s="39">
        <f>'Bay Sizes'!AK7</f>
        <v>0</v>
      </c>
      <c r="F60" s="40">
        <f t="shared" si="0"/>
        <v>0</v>
      </c>
      <c r="G60" s="3">
        <v>0</v>
      </c>
      <c r="H60" s="3">
        <v>0</v>
      </c>
      <c r="I60" s="3">
        <v>0</v>
      </c>
      <c r="J60" s="3">
        <v>0</v>
      </c>
      <c r="K60" s="3">
        <v>0</v>
      </c>
      <c r="L60" s="3">
        <v>0</v>
      </c>
      <c r="M60" s="3">
        <v>0</v>
      </c>
      <c r="N60" s="3">
        <v>0</v>
      </c>
      <c r="O60" s="3">
        <v>0</v>
      </c>
      <c r="P60" s="3">
        <v>0</v>
      </c>
      <c r="Q60" s="3">
        <v>0</v>
      </c>
      <c r="R60" s="3">
        <v>0</v>
      </c>
      <c r="S60" s="3">
        <v>0</v>
      </c>
      <c r="T60" s="3">
        <v>0</v>
      </c>
      <c r="U60" s="3">
        <v>0</v>
      </c>
      <c r="V60" s="3">
        <v>0</v>
      </c>
      <c r="W60" s="3">
        <v>0</v>
      </c>
      <c r="X60" s="3">
        <v>0</v>
      </c>
      <c r="Y60" s="3">
        <v>0</v>
      </c>
      <c r="Z60" s="3">
        <v>0</v>
      </c>
      <c r="AA60" s="3">
        <v>0</v>
      </c>
      <c r="AB60" s="3">
        <v>0</v>
      </c>
      <c r="AC60" s="3">
        <v>0</v>
      </c>
      <c r="AD60" s="3">
        <v>0</v>
      </c>
      <c r="AE60" s="3">
        <v>0</v>
      </c>
      <c r="AF60" s="3">
        <v>0</v>
      </c>
      <c r="AG60" s="3">
        <v>0</v>
      </c>
      <c r="AH60" s="3">
        <v>0</v>
      </c>
      <c r="AI60" s="3">
        <v>0</v>
      </c>
      <c r="AJ60" s="3">
        <v>0</v>
      </c>
    </row>
    <row r="61" spans="1:36" x14ac:dyDescent="0.2">
      <c r="B61" s="37">
        <f>ROWS(B$25:B61)-1</f>
        <v>36</v>
      </c>
      <c r="C61" s="38"/>
      <c r="D61" s="39">
        <f>'Bay Sizes'!AK2</f>
        <v>0</v>
      </c>
      <c r="E61" s="39">
        <f>'Bay Sizes'!AL7</f>
        <v>0</v>
      </c>
      <c r="F61" s="40">
        <f t="shared" si="0"/>
        <v>0</v>
      </c>
      <c r="G61" s="3">
        <v>0</v>
      </c>
      <c r="H61" s="3">
        <v>0</v>
      </c>
      <c r="I61" s="3">
        <v>0</v>
      </c>
      <c r="J61" s="3">
        <v>0</v>
      </c>
      <c r="K61" s="3">
        <v>0</v>
      </c>
      <c r="L61" s="3">
        <v>0</v>
      </c>
      <c r="M61" s="3">
        <v>0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3">
        <v>0</v>
      </c>
      <c r="T61" s="3">
        <v>0</v>
      </c>
      <c r="U61" s="3">
        <v>0</v>
      </c>
      <c r="V61" s="3">
        <v>0</v>
      </c>
      <c r="W61" s="3">
        <v>0</v>
      </c>
      <c r="X61" s="3">
        <v>0</v>
      </c>
      <c r="Y61" s="3">
        <v>0</v>
      </c>
      <c r="Z61" s="3">
        <v>0</v>
      </c>
      <c r="AA61" s="3">
        <v>0</v>
      </c>
      <c r="AB61" s="3">
        <v>0</v>
      </c>
      <c r="AC61" s="3">
        <v>0</v>
      </c>
      <c r="AD61" s="3">
        <v>0</v>
      </c>
      <c r="AE61" s="3">
        <v>0</v>
      </c>
      <c r="AF61" s="3">
        <v>0</v>
      </c>
      <c r="AG61" s="3">
        <v>0</v>
      </c>
      <c r="AH61" s="3">
        <v>0</v>
      </c>
      <c r="AI61" s="3">
        <v>0</v>
      </c>
      <c r="AJ61" s="3">
        <v>0</v>
      </c>
    </row>
    <row r="62" spans="1:36" x14ac:dyDescent="0.2">
      <c r="B62" s="37">
        <f>ROWS(B$25:B62)-1</f>
        <v>37</v>
      </c>
      <c r="C62" s="38"/>
      <c r="D62" s="39">
        <f>'Bay Sizes'!AL2</f>
        <v>0</v>
      </c>
      <c r="E62" s="39">
        <f>'Bay Sizes'!AM7</f>
        <v>0</v>
      </c>
      <c r="F62" s="40">
        <f t="shared" si="0"/>
        <v>0</v>
      </c>
      <c r="G62" s="3">
        <v>0</v>
      </c>
      <c r="H62" s="3">
        <v>0</v>
      </c>
      <c r="I62" s="3">
        <v>0</v>
      </c>
      <c r="J62" s="3">
        <v>0</v>
      </c>
      <c r="K62" s="3">
        <v>0</v>
      </c>
      <c r="L62" s="3">
        <v>0</v>
      </c>
      <c r="M62" s="3">
        <v>0</v>
      </c>
      <c r="N62" s="3">
        <v>0</v>
      </c>
      <c r="O62" s="3">
        <v>0</v>
      </c>
      <c r="P62" s="3">
        <v>0</v>
      </c>
      <c r="Q62" s="3">
        <v>0</v>
      </c>
      <c r="R62" s="3">
        <v>0</v>
      </c>
      <c r="S62" s="3">
        <v>0</v>
      </c>
      <c r="T62" s="3">
        <v>0</v>
      </c>
      <c r="U62" s="3">
        <v>0</v>
      </c>
      <c r="V62" s="3">
        <v>0</v>
      </c>
      <c r="W62" s="3">
        <v>0</v>
      </c>
      <c r="X62" s="3">
        <v>0</v>
      </c>
      <c r="Y62" s="3">
        <v>0</v>
      </c>
      <c r="Z62" s="3">
        <v>0</v>
      </c>
      <c r="AA62" s="3">
        <v>0</v>
      </c>
      <c r="AB62" s="3">
        <v>0</v>
      </c>
      <c r="AC62" s="3">
        <v>0</v>
      </c>
      <c r="AD62" s="3">
        <v>0</v>
      </c>
      <c r="AE62" s="3">
        <v>0</v>
      </c>
      <c r="AF62" s="3">
        <v>0</v>
      </c>
      <c r="AG62" s="3">
        <v>0</v>
      </c>
      <c r="AH62" s="3">
        <v>0</v>
      </c>
      <c r="AI62" s="3">
        <v>0</v>
      </c>
      <c r="AJ62" s="3">
        <v>0</v>
      </c>
    </row>
    <row r="63" spans="1:36" x14ac:dyDescent="0.2">
      <c r="B63" s="37">
        <f>ROWS(B$25:B63)-1</f>
        <v>38</v>
      </c>
      <c r="C63" s="38"/>
      <c r="D63" s="39">
        <f>'Bay Sizes'!AM2</f>
        <v>0</v>
      </c>
      <c r="E63" s="39">
        <f>'Bay Sizes'!AN7</f>
        <v>0</v>
      </c>
      <c r="F63" s="40">
        <f t="shared" si="0"/>
        <v>0</v>
      </c>
      <c r="G63" s="3">
        <v>0</v>
      </c>
      <c r="H63" s="3">
        <v>0</v>
      </c>
      <c r="I63" s="3">
        <v>0</v>
      </c>
      <c r="J63" s="3">
        <v>0</v>
      </c>
      <c r="K63" s="3">
        <v>0</v>
      </c>
      <c r="L63" s="3">
        <v>0</v>
      </c>
      <c r="M63" s="3">
        <v>0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3">
        <v>0</v>
      </c>
      <c r="T63" s="3">
        <v>0</v>
      </c>
      <c r="U63" s="3">
        <v>0</v>
      </c>
      <c r="V63" s="3">
        <v>0</v>
      </c>
      <c r="W63" s="3">
        <v>0</v>
      </c>
      <c r="X63" s="3">
        <v>0</v>
      </c>
      <c r="Y63" s="3">
        <v>0</v>
      </c>
      <c r="Z63" s="3">
        <v>0</v>
      </c>
      <c r="AA63" s="3">
        <v>0</v>
      </c>
      <c r="AB63" s="3">
        <v>0</v>
      </c>
      <c r="AC63" s="3">
        <v>0</v>
      </c>
      <c r="AD63" s="3">
        <v>0</v>
      </c>
      <c r="AE63" s="3">
        <v>0</v>
      </c>
      <c r="AF63" s="3">
        <v>0</v>
      </c>
      <c r="AG63" s="3">
        <v>0</v>
      </c>
      <c r="AH63" s="3">
        <v>0</v>
      </c>
      <c r="AI63" s="3">
        <v>0</v>
      </c>
      <c r="AJ63" s="3">
        <v>0</v>
      </c>
    </row>
    <row r="64" spans="1:36" x14ac:dyDescent="0.2">
      <c r="B64" s="37">
        <f>ROWS(B$25:B64)-1</f>
        <v>39</v>
      </c>
      <c r="C64" s="38"/>
      <c r="D64" s="39">
        <f>'Bay Sizes'!AN2</f>
        <v>0</v>
      </c>
      <c r="E64" s="39">
        <f>'Bay Sizes'!AO7</f>
        <v>0</v>
      </c>
      <c r="F64" s="40">
        <f t="shared" si="0"/>
        <v>0</v>
      </c>
      <c r="G64" s="3">
        <v>0</v>
      </c>
      <c r="H64" s="3">
        <v>0</v>
      </c>
      <c r="I64" s="3">
        <v>0</v>
      </c>
      <c r="J64" s="3">
        <v>0</v>
      </c>
      <c r="K64" s="3">
        <v>0</v>
      </c>
      <c r="L64" s="3">
        <v>0</v>
      </c>
      <c r="M64" s="3">
        <v>0</v>
      </c>
      <c r="N64" s="3">
        <v>0</v>
      </c>
      <c r="O64" s="3">
        <v>0</v>
      </c>
      <c r="P64" s="3">
        <v>0</v>
      </c>
      <c r="Q64" s="3">
        <v>0</v>
      </c>
      <c r="R64" s="3">
        <v>0</v>
      </c>
      <c r="S64" s="3">
        <v>0</v>
      </c>
      <c r="T64" s="3">
        <v>0</v>
      </c>
      <c r="U64" s="3">
        <v>0</v>
      </c>
      <c r="V64" s="3">
        <v>0</v>
      </c>
      <c r="W64" s="3">
        <v>0</v>
      </c>
      <c r="X64" s="3">
        <v>0</v>
      </c>
      <c r="Y64" s="3">
        <v>0</v>
      </c>
      <c r="Z64" s="3">
        <v>0</v>
      </c>
      <c r="AA64" s="3">
        <v>0</v>
      </c>
      <c r="AB64" s="3">
        <v>0</v>
      </c>
      <c r="AC64" s="3">
        <v>0</v>
      </c>
      <c r="AD64" s="3">
        <v>0</v>
      </c>
      <c r="AE64" s="3">
        <v>0</v>
      </c>
      <c r="AF64" s="3">
        <v>0</v>
      </c>
      <c r="AG64" s="3">
        <v>0</v>
      </c>
      <c r="AH64" s="3">
        <v>0</v>
      </c>
      <c r="AI64" s="3">
        <v>0</v>
      </c>
      <c r="AJ64" s="3">
        <v>0</v>
      </c>
    </row>
    <row r="65" spans="2:36" x14ac:dyDescent="0.2">
      <c r="B65" s="37">
        <f>ROWS(B$25:B65)-1</f>
        <v>40</v>
      </c>
      <c r="C65" s="38"/>
      <c r="D65" s="39">
        <f>'Bay Sizes'!AO2</f>
        <v>0</v>
      </c>
      <c r="E65" s="39">
        <f>'Bay Sizes'!AP7</f>
        <v>0</v>
      </c>
      <c r="F65" s="40">
        <f t="shared" si="0"/>
        <v>0</v>
      </c>
      <c r="G65" s="3">
        <v>0</v>
      </c>
      <c r="H65" s="3">
        <v>0</v>
      </c>
      <c r="I65" s="3">
        <v>0</v>
      </c>
      <c r="J65" s="3">
        <v>0</v>
      </c>
      <c r="K65" s="3">
        <v>0</v>
      </c>
      <c r="L65" s="3">
        <v>0</v>
      </c>
      <c r="M65" s="3">
        <v>0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3">
        <v>0</v>
      </c>
      <c r="T65" s="3">
        <v>0</v>
      </c>
      <c r="U65" s="3">
        <v>0</v>
      </c>
      <c r="V65" s="3">
        <v>0</v>
      </c>
      <c r="W65" s="3">
        <v>0</v>
      </c>
      <c r="X65" s="3">
        <v>0</v>
      </c>
      <c r="Y65" s="3">
        <v>0</v>
      </c>
      <c r="Z65" s="3">
        <v>0</v>
      </c>
      <c r="AA65" s="3">
        <v>0</v>
      </c>
      <c r="AB65" s="3">
        <v>0</v>
      </c>
      <c r="AC65" s="3">
        <v>0</v>
      </c>
      <c r="AD65" s="3">
        <v>0</v>
      </c>
      <c r="AE65" s="3">
        <v>0</v>
      </c>
      <c r="AF65" s="3">
        <v>0</v>
      </c>
      <c r="AG65" s="3">
        <v>0</v>
      </c>
      <c r="AH65" s="3">
        <v>0</v>
      </c>
      <c r="AI65" s="3">
        <v>0</v>
      </c>
      <c r="AJ65" s="3">
        <v>0</v>
      </c>
    </row>
  </sheetData>
  <sortState ref="D25:E65">
    <sortCondition descending="1" ref="D25"/>
  </sortState>
  <mergeCells count="1">
    <mergeCell ref="B24:B25"/>
  </mergeCells>
  <phoneticPr fontId="2" type="noConversion"/>
  <conditionalFormatting sqref="F26:F65">
    <cfRule type="cellIs" dxfId="0" priority="3" stopIfTrue="1" operator="notEqual">
      <formula>$E26</formula>
    </cfRule>
  </conditionalFormatting>
  <dataValidations count="2">
    <dataValidation type="decimal" operator="greaterThanOrEqual" allowBlank="1" showInputMessage="1" showErrorMessage="1" errorTitle="Hey, Genius!" error="Kerf must be non-negative" sqref="D2:D3">
      <formula1>0</formula1>
    </dataValidation>
    <dataValidation type="whole" allowBlank="1" showErrorMessage="1" errorTitle="Hey, Genius!" error="Positive whole numbers only!" sqref="E26:E45">
      <formula1>0</formula1>
      <formula2>1000000000000000</formula2>
    </dataValidation>
  </dataValidations>
  <pageMargins left="0.25" right="0.25" top="0.75" bottom="0.75" header="0.3" footer="0.3"/>
  <pageSetup scale="84" orientation="landscape" horizontalDpi="1200" verticalDpi="1200" r:id="rId1"/>
  <headerFooter alignWithMargins="0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B1:Z59"/>
  <sheetViews>
    <sheetView tabSelected="1" topLeftCell="A24" zoomScale="50" zoomScaleNormal="50" workbookViewId="0">
      <selection activeCell="Q46" sqref="Q46"/>
    </sheetView>
  </sheetViews>
  <sheetFormatPr defaultColWidth="9.33203125" defaultRowHeight="15" x14ac:dyDescent="0.25"/>
  <cols>
    <col min="1" max="1" width="1.5" style="46" customWidth="1"/>
    <col min="2" max="2" width="46.33203125" style="46" bestFit="1" customWidth="1"/>
    <col min="3" max="3" width="21.5" style="46" bestFit="1" customWidth="1"/>
    <col min="4" max="4" width="12.33203125" style="46" bestFit="1" customWidth="1"/>
    <col min="5" max="6" width="9.33203125" style="46" customWidth="1"/>
    <col min="7" max="7" width="8" style="46" customWidth="1"/>
    <col min="8" max="8" width="7.33203125" style="46" customWidth="1"/>
    <col min="9" max="9" width="27.33203125" style="46" bestFit="1" customWidth="1"/>
    <col min="10" max="10" width="21.5" style="46" bestFit="1" customWidth="1"/>
    <col min="11" max="11" width="12.33203125" style="46" bestFit="1" customWidth="1"/>
    <col min="12" max="12" width="12.33203125" style="46" customWidth="1"/>
    <col min="13" max="15" width="9.33203125" style="46"/>
    <col min="16" max="16" width="28.83203125" style="46" customWidth="1"/>
    <col min="17" max="17" width="93.1640625" style="46" bestFit="1" customWidth="1"/>
    <col min="18" max="18" width="14.33203125" style="46" customWidth="1"/>
    <col min="19" max="19" width="9.33203125" style="46"/>
    <col min="20" max="20" width="1" style="46" customWidth="1"/>
    <col min="21" max="16384" width="9.33203125" style="46"/>
  </cols>
  <sheetData>
    <row r="1" spans="2:26" x14ac:dyDescent="0.25">
      <c r="S1" s="47"/>
    </row>
    <row r="2" spans="2:26" ht="46.5" x14ac:dyDescent="0.7">
      <c r="B2" s="48"/>
      <c r="C2" s="88" t="s">
        <v>40</v>
      </c>
      <c r="D2" s="89"/>
      <c r="E2" s="89"/>
      <c r="F2" s="89"/>
      <c r="G2" s="89"/>
      <c r="H2" s="89"/>
      <c r="I2" s="89"/>
      <c r="J2" s="89"/>
      <c r="K2" s="89"/>
      <c r="L2" s="89"/>
      <c r="M2" s="89"/>
      <c r="N2" s="89"/>
      <c r="O2" s="89"/>
      <c r="P2" s="51" t="s">
        <v>41</v>
      </c>
      <c r="Q2" s="52" t="s">
        <v>42</v>
      </c>
      <c r="R2" s="53"/>
      <c r="S2" s="54"/>
      <c r="T2" s="55"/>
    </row>
    <row r="3" spans="2:26" ht="21" x14ac:dyDescent="0.25">
      <c r="B3" s="47"/>
      <c r="C3" s="89"/>
      <c r="D3" s="89"/>
      <c r="E3" s="89"/>
      <c r="F3" s="89"/>
      <c r="G3" s="89"/>
      <c r="H3" s="89"/>
      <c r="I3" s="89"/>
      <c r="J3" s="89"/>
      <c r="K3" s="89"/>
      <c r="L3" s="89"/>
      <c r="M3" s="89"/>
      <c r="N3" s="89"/>
      <c r="O3" s="89"/>
      <c r="P3" s="56"/>
      <c r="Q3" s="57"/>
      <c r="R3" s="58"/>
      <c r="S3" s="54"/>
      <c r="T3" s="55"/>
    </row>
    <row r="4" spans="2:26" ht="46.5" x14ac:dyDescent="0.25">
      <c r="B4" s="47"/>
      <c r="C4" s="89"/>
      <c r="D4" s="89"/>
      <c r="E4" s="89"/>
      <c r="F4" s="89"/>
      <c r="G4" s="89"/>
      <c r="H4" s="89"/>
      <c r="I4" s="89"/>
      <c r="J4" s="89"/>
      <c r="K4" s="89"/>
      <c r="L4" s="89"/>
      <c r="M4" s="89"/>
      <c r="N4" s="89"/>
      <c r="O4" s="89"/>
      <c r="P4" s="49"/>
      <c r="Q4" s="59"/>
      <c r="R4" s="60"/>
    </row>
    <row r="5" spans="2:26" ht="15.75" x14ac:dyDescent="0.25">
      <c r="E5" s="61"/>
      <c r="F5" s="61"/>
      <c r="G5" s="61"/>
      <c r="H5" s="61"/>
      <c r="J5" s="62"/>
      <c r="K5" s="63"/>
      <c r="L5" s="63"/>
      <c r="M5" s="63"/>
      <c r="N5" s="63"/>
      <c r="O5" s="63"/>
      <c r="P5" s="63"/>
      <c r="W5" s="58"/>
      <c r="X5" s="54"/>
    </row>
    <row r="6" spans="2:26" ht="15.75" x14ac:dyDescent="0.25">
      <c r="E6" s="61"/>
      <c r="F6" s="61"/>
      <c r="G6" s="61"/>
      <c r="H6" s="61"/>
      <c r="J6" s="62"/>
      <c r="K6" s="63"/>
      <c r="L6" s="63"/>
      <c r="M6" s="63"/>
      <c r="N6" s="63"/>
      <c r="O6" s="63"/>
      <c r="P6" s="63"/>
      <c r="W6" s="58"/>
      <c r="X6" s="54"/>
    </row>
    <row r="7" spans="2:26" ht="23.25" x14ac:dyDescent="0.35">
      <c r="B7" s="90" t="s">
        <v>43</v>
      </c>
      <c r="C7" s="90"/>
      <c r="D7" s="90"/>
      <c r="E7" s="65"/>
      <c r="F7" s="65"/>
      <c r="G7" s="65"/>
      <c r="I7" s="90" t="s">
        <v>44</v>
      </c>
      <c r="J7" s="90"/>
      <c r="K7" s="90"/>
      <c r="L7" s="64"/>
      <c r="M7" s="65"/>
      <c r="N7" s="65"/>
      <c r="O7" s="65"/>
      <c r="P7" s="90" t="s">
        <v>45</v>
      </c>
      <c r="Q7" s="90"/>
      <c r="R7" s="90"/>
      <c r="W7" s="58"/>
      <c r="X7" s="54"/>
    </row>
    <row r="8" spans="2:26" ht="23.25" x14ac:dyDescent="0.35">
      <c r="B8" s="65"/>
      <c r="C8" s="65"/>
      <c r="D8" s="65"/>
      <c r="E8" s="65"/>
      <c r="F8" s="65"/>
      <c r="G8" s="65"/>
      <c r="I8" s="65"/>
      <c r="J8" s="65"/>
      <c r="K8" s="65"/>
      <c r="L8" s="65"/>
      <c r="M8" s="65"/>
      <c r="N8" s="65"/>
      <c r="O8" s="65"/>
    </row>
    <row r="9" spans="2:26" x14ac:dyDescent="0.25">
      <c r="B9" s="66"/>
      <c r="I9" s="66"/>
      <c r="V9" s="91"/>
      <c r="W9" s="87"/>
      <c r="X9" s="87"/>
      <c r="Y9" s="87"/>
      <c r="Z9" s="87"/>
    </row>
    <row r="10" spans="2:26" x14ac:dyDescent="0.25">
      <c r="I10" s="67"/>
      <c r="J10" s="68"/>
      <c r="K10" s="68"/>
      <c r="L10" s="68"/>
      <c r="P10" s="66"/>
      <c r="V10" s="91"/>
      <c r="W10" s="87"/>
      <c r="X10" s="87"/>
      <c r="Y10" s="87"/>
      <c r="Z10" s="87"/>
    </row>
    <row r="11" spans="2:26" x14ac:dyDescent="0.25">
      <c r="I11" s="67"/>
      <c r="J11" s="68"/>
      <c r="K11" s="68"/>
      <c r="L11" s="68"/>
      <c r="P11" s="66"/>
      <c r="V11" s="62"/>
      <c r="W11" s="87"/>
      <c r="X11" s="87"/>
      <c r="Y11" s="87"/>
      <c r="Z11" s="87"/>
    </row>
    <row r="12" spans="2:26" ht="17.25" customHeight="1" x14ac:dyDescent="0.5">
      <c r="B12" s="69" t="s">
        <v>46</v>
      </c>
      <c r="C12" s="69" t="s">
        <v>47</v>
      </c>
      <c r="D12" s="70">
        <f>'Calculated Prices'!I8</f>
        <v>21.103482400000001</v>
      </c>
      <c r="I12" s="69" t="s">
        <v>48</v>
      </c>
      <c r="J12" s="69" t="s">
        <v>47</v>
      </c>
      <c r="K12" s="70">
        <f>'Calculated Prices'!I38</f>
        <v>73.87680300000001</v>
      </c>
      <c r="L12" s="70"/>
      <c r="P12" s="71" t="s">
        <v>49</v>
      </c>
      <c r="Q12" s="71"/>
      <c r="R12" s="70">
        <f>'Calculated Prices'!I70</f>
        <v>36.448812400000008</v>
      </c>
      <c r="V12" s="72"/>
      <c r="W12" s="87"/>
      <c r="X12" s="87"/>
      <c r="Y12" s="87"/>
      <c r="Z12" s="87"/>
    </row>
    <row r="13" spans="2:26" ht="18.75" x14ac:dyDescent="0.25">
      <c r="B13" s="69" t="s">
        <v>46</v>
      </c>
      <c r="C13" s="69" t="s">
        <v>50</v>
      </c>
      <c r="D13" s="70">
        <f>'Calculated Prices'!I9</f>
        <v>27.3439166</v>
      </c>
      <c r="I13" s="69" t="s">
        <v>48</v>
      </c>
      <c r="J13" s="69" t="s">
        <v>50</v>
      </c>
      <c r="K13" s="70">
        <f>'Calculated Prices'!I39</f>
        <v>79.021142200000014</v>
      </c>
      <c r="L13" s="70"/>
      <c r="M13" s="73"/>
      <c r="N13" s="73"/>
      <c r="O13" s="73"/>
      <c r="P13" s="71" t="s">
        <v>51</v>
      </c>
      <c r="Q13" s="71"/>
      <c r="R13" s="70">
        <f>'Calculated Prices'!I71</f>
        <v>52.057205200000006</v>
      </c>
      <c r="V13" s="91"/>
      <c r="W13" s="87"/>
      <c r="X13" s="87"/>
      <c r="Y13" s="87"/>
      <c r="Z13" s="87"/>
    </row>
    <row r="14" spans="2:26" ht="18.75" x14ac:dyDescent="0.25">
      <c r="B14" s="69" t="s">
        <v>46</v>
      </c>
      <c r="C14" s="69" t="s">
        <v>52</v>
      </c>
      <c r="D14" s="70">
        <f>'Calculated Prices'!I10</f>
        <v>31.0414104</v>
      </c>
      <c r="E14" s="73"/>
      <c r="F14" s="73"/>
      <c r="G14" s="73"/>
      <c r="I14" s="69" t="s">
        <v>48</v>
      </c>
      <c r="J14" s="69" t="s">
        <v>52</v>
      </c>
      <c r="K14" s="70">
        <f>'Calculated Prices'!I40</f>
        <v>99.978478600000017</v>
      </c>
      <c r="L14" s="70"/>
      <c r="M14" s="73"/>
      <c r="N14" s="73"/>
      <c r="O14" s="73"/>
      <c r="P14" s="71" t="s">
        <v>53</v>
      </c>
      <c r="Q14" s="71"/>
      <c r="R14" s="70">
        <f>'Calculated Prices'!I72</f>
        <v>53.60635280000001</v>
      </c>
      <c r="V14" s="91"/>
      <c r="W14" s="87"/>
      <c r="X14" s="87"/>
      <c r="Y14" s="87"/>
      <c r="Z14" s="87"/>
    </row>
    <row r="15" spans="2:26" ht="18.75" x14ac:dyDescent="0.25">
      <c r="B15" s="69"/>
      <c r="C15" s="69"/>
      <c r="D15" s="70"/>
      <c r="E15" s="73"/>
      <c r="F15" s="73"/>
      <c r="G15" s="73"/>
      <c r="I15" s="68"/>
      <c r="J15" s="68"/>
      <c r="K15" s="68"/>
      <c r="L15" s="68"/>
      <c r="M15" s="73"/>
      <c r="N15" s="73"/>
      <c r="O15" s="73"/>
    </row>
    <row r="16" spans="2:26" ht="18.75" x14ac:dyDescent="0.25">
      <c r="B16" s="69" t="s">
        <v>54</v>
      </c>
      <c r="C16" s="69" t="s">
        <v>47</v>
      </c>
      <c r="D16" s="70">
        <f>'Calculated Prices'!I12</f>
        <v>32.649016400000001</v>
      </c>
      <c r="E16" s="73"/>
      <c r="F16" s="73"/>
      <c r="G16" s="73"/>
    </row>
    <row r="17" spans="2:18" ht="23.25" x14ac:dyDescent="0.35">
      <c r="B17" s="69" t="s">
        <v>54</v>
      </c>
      <c r="C17" s="69" t="s">
        <v>50</v>
      </c>
      <c r="D17" s="70">
        <f>'Calculated Prices'!I13</f>
        <v>41.841599800000012</v>
      </c>
      <c r="E17" s="73"/>
      <c r="F17" s="73"/>
      <c r="G17" s="73"/>
      <c r="I17" s="90" t="s">
        <v>55</v>
      </c>
      <c r="J17" s="90"/>
      <c r="K17" s="90"/>
      <c r="L17" s="64"/>
      <c r="M17" s="65"/>
      <c r="N17" s="65"/>
      <c r="O17" s="65"/>
      <c r="P17" s="64" t="s">
        <v>56</v>
      </c>
      <c r="Q17" s="64"/>
      <c r="R17" s="65"/>
    </row>
    <row r="18" spans="2:18" ht="18.75" x14ac:dyDescent="0.25">
      <c r="B18" s="69" t="s">
        <v>54</v>
      </c>
      <c r="C18" s="69" t="s">
        <v>52</v>
      </c>
      <c r="D18" s="70">
        <f>'Calculated Prices'!I14</f>
        <v>48.023575600000008</v>
      </c>
      <c r="E18" s="73"/>
      <c r="F18" s="73"/>
      <c r="G18" s="73"/>
    </row>
    <row r="19" spans="2:18" ht="18.75" x14ac:dyDescent="0.3">
      <c r="D19" s="70"/>
      <c r="E19" s="73"/>
      <c r="F19" s="73"/>
      <c r="G19" s="73"/>
      <c r="Q19" s="74" t="s">
        <v>57</v>
      </c>
      <c r="R19" s="75">
        <f>'Calculated Prices'!I76</f>
        <v>4.05</v>
      </c>
    </row>
    <row r="20" spans="2:18" ht="18.75" x14ac:dyDescent="0.3">
      <c r="D20" s="70"/>
      <c r="E20" s="73"/>
      <c r="F20" s="73"/>
      <c r="G20" s="73"/>
      <c r="Q20" s="74"/>
      <c r="R20" s="75"/>
    </row>
    <row r="21" spans="2:18" ht="18.75" x14ac:dyDescent="0.3">
      <c r="D21" s="70"/>
      <c r="E21" s="73"/>
      <c r="F21" s="73"/>
      <c r="G21" s="73"/>
      <c r="Q21" s="74"/>
      <c r="R21" s="74"/>
    </row>
    <row r="22" spans="2:18" ht="18.75" x14ac:dyDescent="0.3">
      <c r="D22" s="70"/>
      <c r="I22" s="69" t="s">
        <v>48</v>
      </c>
      <c r="J22" s="69" t="s">
        <v>47</v>
      </c>
      <c r="K22" s="70">
        <f>'Calculated Prices'!I45</f>
        <v>76.390514199999998</v>
      </c>
      <c r="L22" s="70"/>
      <c r="Q22" s="74" t="s">
        <v>58</v>
      </c>
      <c r="R22" s="75">
        <f>'Calculated Prices'!I77</f>
        <v>4.5</v>
      </c>
    </row>
    <row r="23" spans="2:18" ht="18.75" x14ac:dyDescent="0.3">
      <c r="B23" s="69" t="s">
        <v>59</v>
      </c>
      <c r="C23" s="69" t="s">
        <v>47</v>
      </c>
      <c r="D23" s="70">
        <f>'Calculated Prices'!I18</f>
        <v>50.464213800000017</v>
      </c>
      <c r="I23" s="69" t="s">
        <v>48</v>
      </c>
      <c r="J23" s="69" t="s">
        <v>50</v>
      </c>
      <c r="K23" s="70">
        <f>'Calculated Prices'!I46</f>
        <v>76.390514199999998</v>
      </c>
      <c r="L23" s="70"/>
      <c r="M23" s="73"/>
      <c r="N23" s="73"/>
      <c r="O23" s="73"/>
      <c r="Q23" s="74"/>
      <c r="R23" s="74"/>
    </row>
    <row r="24" spans="2:18" ht="18.75" x14ac:dyDescent="0.3">
      <c r="B24" s="69" t="s">
        <v>59</v>
      </c>
      <c r="C24" s="69" t="s">
        <v>50</v>
      </c>
      <c r="D24" s="70">
        <f>'Calculated Prices'!I19</f>
        <v>63.105842800000019</v>
      </c>
      <c r="M24" s="73"/>
      <c r="N24" s="73"/>
      <c r="O24" s="73"/>
      <c r="Q24" s="74"/>
      <c r="R24" s="74"/>
    </row>
    <row r="25" spans="2:18" ht="18.75" x14ac:dyDescent="0.3">
      <c r="B25" s="69" t="s">
        <v>59</v>
      </c>
      <c r="C25" s="69" t="s">
        <v>52</v>
      </c>
      <c r="D25" s="70">
        <f>'Calculated Prices'!I20</f>
        <v>74.242168000000007</v>
      </c>
      <c r="M25" s="73"/>
      <c r="N25" s="73"/>
      <c r="O25" s="73"/>
      <c r="Q25" s="74"/>
      <c r="R25" s="74"/>
    </row>
    <row r="26" spans="2:18" ht="18.75" x14ac:dyDescent="0.3">
      <c r="I26" s="76"/>
      <c r="J26" s="76"/>
      <c r="K26" s="76"/>
      <c r="L26" s="76"/>
      <c r="Q26" s="74" t="s">
        <v>60</v>
      </c>
      <c r="R26" s="75">
        <f>'Calculated Prices'!I78</f>
        <v>2.7</v>
      </c>
    </row>
    <row r="27" spans="2:18" ht="23.25" x14ac:dyDescent="0.35">
      <c r="B27" s="93" t="s">
        <v>61</v>
      </c>
      <c r="C27" s="93"/>
      <c r="D27" s="93"/>
      <c r="I27" s="90" t="s">
        <v>62</v>
      </c>
      <c r="J27" s="90"/>
      <c r="K27" s="90"/>
      <c r="L27" s="64"/>
      <c r="M27" s="65"/>
      <c r="N27" s="65"/>
      <c r="O27" s="65"/>
      <c r="Q27" s="74"/>
      <c r="R27" s="74"/>
    </row>
    <row r="28" spans="2:18" ht="23.25" x14ac:dyDescent="0.3">
      <c r="B28" s="77"/>
      <c r="C28" s="77"/>
      <c r="D28" s="77"/>
      <c r="E28" s="73"/>
      <c r="F28" s="73"/>
      <c r="G28" s="73"/>
      <c r="Q28" s="74" t="s">
        <v>63</v>
      </c>
      <c r="R28" s="75">
        <f>'Calculated Prices'!I80</f>
        <v>2.7</v>
      </c>
    </row>
    <row r="29" spans="2:18" ht="18.75" x14ac:dyDescent="0.3">
      <c r="E29" s="73"/>
      <c r="F29" s="73"/>
      <c r="G29" s="73"/>
      <c r="Q29" s="74" t="s">
        <v>64</v>
      </c>
      <c r="R29" s="75">
        <f>'Calculated Prices'!I81</f>
        <v>3.6</v>
      </c>
    </row>
    <row r="30" spans="2:18" ht="18.75" x14ac:dyDescent="0.3">
      <c r="E30" s="73"/>
      <c r="F30" s="73"/>
      <c r="G30" s="73"/>
      <c r="Q30" s="74" t="s">
        <v>65</v>
      </c>
      <c r="R30" s="75">
        <f>'Calculated Prices'!I82</f>
        <v>4.05</v>
      </c>
    </row>
    <row r="31" spans="2:18" x14ac:dyDescent="0.25">
      <c r="D31" s="73"/>
      <c r="E31" s="73"/>
      <c r="F31" s="73"/>
      <c r="G31" s="73"/>
    </row>
    <row r="32" spans="2:18" ht="18.75" x14ac:dyDescent="0.25">
      <c r="B32" s="69" t="s">
        <v>66</v>
      </c>
      <c r="C32" s="69" t="s">
        <v>47</v>
      </c>
      <c r="D32" s="70">
        <f>'Calculated Prices'!I25</f>
        <v>43.975331400000009</v>
      </c>
      <c r="I32" s="69" t="s">
        <v>48</v>
      </c>
      <c r="J32" s="69" t="s">
        <v>47</v>
      </c>
      <c r="K32" s="70">
        <f>'Calculated Prices'!I51</f>
        <v>83.171688599999996</v>
      </c>
      <c r="L32" s="70"/>
    </row>
    <row r="33" spans="2:18" ht="23.25" x14ac:dyDescent="0.35">
      <c r="B33" s="69" t="s">
        <v>66</v>
      </c>
      <c r="C33" s="69" t="s">
        <v>50</v>
      </c>
      <c r="D33" s="70">
        <f>'Calculated Prices'!I26</f>
        <v>56.266210000000015</v>
      </c>
      <c r="E33" s="65"/>
      <c r="F33" s="65"/>
      <c r="G33" s="65"/>
      <c r="I33" s="69" t="s">
        <v>48</v>
      </c>
      <c r="J33" s="69" t="s">
        <v>50</v>
      </c>
      <c r="K33" s="70">
        <f>'Calculated Prices'!I52</f>
        <v>92.028136200000006</v>
      </c>
      <c r="L33" s="70"/>
      <c r="M33" s="73"/>
      <c r="N33" s="73"/>
      <c r="O33" s="73"/>
      <c r="P33" s="90" t="s">
        <v>67</v>
      </c>
      <c r="Q33" s="94"/>
      <c r="R33" s="64"/>
    </row>
    <row r="34" spans="2:18" ht="23.25" x14ac:dyDescent="0.35">
      <c r="B34" s="69" t="s">
        <v>66</v>
      </c>
      <c r="C34" s="69" t="s">
        <v>52</v>
      </c>
      <c r="D34" s="70">
        <f>'Calculated Prices'!I27</f>
        <v>64.698834200000007</v>
      </c>
      <c r="E34" s="65"/>
      <c r="F34" s="65"/>
      <c r="G34" s="65"/>
      <c r="I34" s="69" t="s">
        <v>48</v>
      </c>
      <c r="J34" s="69" t="s">
        <v>52</v>
      </c>
      <c r="K34" s="70">
        <f>'Calculated Prices'!I53</f>
        <v>122.35343120000002</v>
      </c>
      <c r="L34" s="70"/>
      <c r="M34" s="73"/>
      <c r="N34" s="73"/>
      <c r="O34" s="73"/>
    </row>
    <row r="35" spans="2:18" ht="18.75" x14ac:dyDescent="0.3">
      <c r="M35" s="73"/>
      <c r="N35" s="73"/>
      <c r="O35" s="73"/>
      <c r="Q35" s="74" t="s">
        <v>68</v>
      </c>
      <c r="R35" s="75">
        <f>'Calculated Prices'!I86</f>
        <v>8.6226140000000022</v>
      </c>
    </row>
    <row r="36" spans="2:18" ht="23.25" x14ac:dyDescent="0.35">
      <c r="B36" s="90" t="s">
        <v>69</v>
      </c>
      <c r="C36" s="90"/>
      <c r="D36" s="90"/>
      <c r="P36" s="66"/>
      <c r="Q36" s="74" t="s">
        <v>70</v>
      </c>
      <c r="R36" s="75">
        <f>'Calculated Prices'!I87</f>
        <v>8.7687600000000003</v>
      </c>
    </row>
    <row r="37" spans="2:18" ht="23.25" x14ac:dyDescent="0.35">
      <c r="I37" s="90" t="s">
        <v>71</v>
      </c>
      <c r="J37" s="90"/>
      <c r="K37" s="90"/>
      <c r="L37" s="64"/>
      <c r="M37" s="65"/>
      <c r="N37" s="65"/>
      <c r="O37" s="65"/>
      <c r="Q37" s="74" t="s">
        <v>72</v>
      </c>
      <c r="R37" s="75">
        <f>'Calculated Prices'!I88</f>
        <v>9.0610520000000019</v>
      </c>
    </row>
    <row r="38" spans="2:18" ht="18.75" x14ac:dyDescent="0.3">
      <c r="Q38" s="74"/>
      <c r="R38" s="74"/>
    </row>
    <row r="39" spans="2:18" ht="18.75" x14ac:dyDescent="0.3">
      <c r="Q39" s="74"/>
      <c r="R39" s="74"/>
    </row>
    <row r="40" spans="2:18" ht="18.75" x14ac:dyDescent="0.3">
      <c r="B40" s="69" t="s">
        <v>73</v>
      </c>
      <c r="C40" s="69" t="s">
        <v>47</v>
      </c>
      <c r="D40" s="70">
        <f>'Calculated Prices'!I31</f>
        <v>44.603759200000006</v>
      </c>
      <c r="E40" s="73"/>
      <c r="F40" s="73"/>
      <c r="G40" s="73"/>
      <c r="Q40" s="74" t="s">
        <v>74</v>
      </c>
      <c r="R40" s="75">
        <f>'Calculated Prices'!I90</f>
        <v>6.18</v>
      </c>
    </row>
    <row r="41" spans="2:18" ht="18.75" x14ac:dyDescent="0.3">
      <c r="B41" s="69" t="s">
        <v>73</v>
      </c>
      <c r="C41" s="69" t="s">
        <v>52</v>
      </c>
      <c r="D41" s="70">
        <f>'Calculated Prices'!I32</f>
        <v>56.017761800000002</v>
      </c>
      <c r="E41" s="73"/>
      <c r="F41" s="73"/>
      <c r="G41" s="73"/>
      <c r="Q41" s="74" t="s">
        <v>75</v>
      </c>
      <c r="R41" s="75">
        <f>'Calculated Prices'!I91</f>
        <v>5.62</v>
      </c>
    </row>
    <row r="42" spans="2:18" ht="18.75" x14ac:dyDescent="0.25">
      <c r="B42" s="69" t="s">
        <v>76</v>
      </c>
      <c r="C42" s="69" t="s">
        <v>47</v>
      </c>
      <c r="D42" s="70">
        <f>'Calculated Prices'!I33</f>
        <v>116.59527880000002</v>
      </c>
      <c r="E42" s="73"/>
      <c r="F42" s="73"/>
      <c r="G42" s="73"/>
      <c r="I42" s="69" t="s">
        <v>77</v>
      </c>
      <c r="J42" s="69" t="s">
        <v>47</v>
      </c>
      <c r="K42" s="70">
        <f>'Calculated Prices'!I57</f>
        <v>21.965743800000002</v>
      </c>
      <c r="L42" s="70"/>
    </row>
    <row r="43" spans="2:18" ht="18.75" x14ac:dyDescent="0.25">
      <c r="E43" s="73"/>
      <c r="F43" s="73"/>
      <c r="G43" s="73"/>
      <c r="I43" s="69" t="s">
        <v>77</v>
      </c>
      <c r="J43" s="69" t="s">
        <v>50</v>
      </c>
      <c r="K43" s="70">
        <f>'Calculated Prices'!I58</f>
        <v>39.678638999999997</v>
      </c>
      <c r="L43" s="70"/>
      <c r="M43" s="73"/>
      <c r="N43" s="73"/>
      <c r="O43" s="73"/>
    </row>
    <row r="44" spans="2:18" ht="23.25" x14ac:dyDescent="0.25">
      <c r="I44" s="69" t="s">
        <v>77</v>
      </c>
      <c r="J44" s="69" t="s">
        <v>52</v>
      </c>
      <c r="K44" s="70">
        <f>'Calculated Prices'!I59</f>
        <v>32.3128806</v>
      </c>
      <c r="L44" s="70"/>
      <c r="M44" s="73"/>
      <c r="N44" s="73"/>
      <c r="O44" s="73"/>
      <c r="P44" s="78" t="s">
        <v>78</v>
      </c>
      <c r="Q44" s="50"/>
      <c r="R44" s="50"/>
    </row>
    <row r="45" spans="2:18" x14ac:dyDescent="0.25">
      <c r="B45" s="93" t="s">
        <v>79</v>
      </c>
      <c r="C45" s="93"/>
      <c r="D45" s="93"/>
      <c r="M45" s="73"/>
      <c r="N45" s="73"/>
      <c r="O45" s="73"/>
      <c r="P45" s="50"/>
      <c r="Q45" s="50"/>
      <c r="R45" s="50"/>
    </row>
    <row r="46" spans="2:18" ht="23.25" x14ac:dyDescent="0.35">
      <c r="B46" s="93"/>
      <c r="C46" s="93"/>
      <c r="D46" s="93"/>
      <c r="E46" s="65"/>
      <c r="F46" s="65"/>
      <c r="G46" s="65"/>
      <c r="Q46" s="79" t="s">
        <v>80</v>
      </c>
      <c r="R46" s="80">
        <f>'Calculated Prices'!I95</f>
        <v>500</v>
      </c>
    </row>
    <row r="47" spans="2:18" ht="23.25" x14ac:dyDescent="0.35">
      <c r="B47" s="69" t="s">
        <v>81</v>
      </c>
      <c r="C47" s="69" t="s">
        <v>47</v>
      </c>
      <c r="D47" s="70">
        <f>'Calculated Prices'!I105</f>
        <v>27.957729800000006</v>
      </c>
      <c r="I47" s="90" t="s">
        <v>82</v>
      </c>
      <c r="J47" s="90"/>
      <c r="K47" s="90"/>
      <c r="L47" s="64"/>
      <c r="M47" s="65"/>
      <c r="N47" s="65"/>
      <c r="O47" s="65"/>
      <c r="Q47" s="79" t="s">
        <v>83</v>
      </c>
      <c r="R47" s="80">
        <f>'Calculated Prices'!I96</f>
        <v>575</v>
      </c>
    </row>
    <row r="48" spans="2:18" ht="24.75" customHeight="1" x14ac:dyDescent="0.25">
      <c r="B48" s="69" t="s">
        <v>81</v>
      </c>
      <c r="C48" s="69" t="s">
        <v>50</v>
      </c>
      <c r="D48" s="70">
        <f>'Calculated Prices'!I106</f>
        <v>27.957729800000006</v>
      </c>
      <c r="Q48" s="79" t="s">
        <v>84</v>
      </c>
      <c r="R48" s="80">
        <f>'Calculated Prices'!I97</f>
        <v>600</v>
      </c>
    </row>
    <row r="49" spans="2:18" ht="27.75" customHeight="1" x14ac:dyDescent="0.25">
      <c r="B49" s="69" t="s">
        <v>81</v>
      </c>
      <c r="C49" s="69" t="s">
        <v>52</v>
      </c>
      <c r="D49" s="70">
        <f>'Calculated Prices'!I107</f>
        <v>17.581363800000002</v>
      </c>
      <c r="Q49" s="79" t="s">
        <v>85</v>
      </c>
      <c r="R49" s="80">
        <f>'Calculated Prices'!I98</f>
        <v>675</v>
      </c>
    </row>
    <row r="50" spans="2:18" ht="18.75" x14ac:dyDescent="0.3">
      <c r="B50" s="69"/>
      <c r="C50" s="69"/>
      <c r="D50" s="70"/>
      <c r="I50" s="69" t="s">
        <v>77</v>
      </c>
      <c r="J50" s="69" t="s">
        <v>47</v>
      </c>
      <c r="K50" s="70">
        <f>'Calculated Prices'!I63</f>
        <v>13.825411600000004</v>
      </c>
      <c r="L50" s="70"/>
      <c r="Q50" s="74" t="s">
        <v>86</v>
      </c>
      <c r="R50" s="80">
        <f>'Calculated Prices'!I99</f>
        <v>100</v>
      </c>
    </row>
    <row r="51" spans="2:18" ht="18.75" x14ac:dyDescent="0.3">
      <c r="B51" s="69" t="s">
        <v>87</v>
      </c>
      <c r="C51" s="69" t="s">
        <v>47</v>
      </c>
      <c r="D51" s="70">
        <f>'Calculated Prices'!I109</f>
        <v>50.829578800000014</v>
      </c>
      <c r="E51" s="73"/>
      <c r="F51" s="73"/>
      <c r="G51" s="73"/>
      <c r="I51" s="69" t="s">
        <v>77</v>
      </c>
      <c r="J51" s="69" t="s">
        <v>50</v>
      </c>
      <c r="K51" s="70">
        <f>'Calculated Prices'!I64</f>
        <v>32.722089400000002</v>
      </c>
      <c r="L51" s="70"/>
      <c r="Q51" s="74" t="s">
        <v>88</v>
      </c>
      <c r="R51" s="80">
        <f>'Calculated Prices'!I100</f>
        <v>20</v>
      </c>
    </row>
    <row r="52" spans="2:18" ht="18.75" x14ac:dyDescent="0.3">
      <c r="B52" s="69" t="s">
        <v>87</v>
      </c>
      <c r="C52" s="69" t="s">
        <v>50</v>
      </c>
      <c r="D52" s="70">
        <f>'Calculated Prices'!I110</f>
        <v>50.829578800000014</v>
      </c>
      <c r="E52" s="73"/>
      <c r="F52" s="73"/>
      <c r="G52" s="73"/>
      <c r="I52" s="69" t="s">
        <v>77</v>
      </c>
      <c r="J52" s="69" t="s">
        <v>52</v>
      </c>
      <c r="K52" s="70">
        <f>'Calculated Prices'!I65</f>
        <v>20.343523200000003</v>
      </c>
      <c r="L52" s="70"/>
      <c r="M52" s="73"/>
      <c r="N52" s="73"/>
      <c r="O52" s="73"/>
      <c r="Q52" s="74" t="s">
        <v>89</v>
      </c>
      <c r="R52" s="80">
        <f>'Calculated Prices'!I101</f>
        <v>40</v>
      </c>
    </row>
    <row r="53" spans="2:18" ht="18.75" x14ac:dyDescent="0.25">
      <c r="B53" s="69" t="s">
        <v>87</v>
      </c>
      <c r="C53" s="69" t="s">
        <v>52</v>
      </c>
      <c r="D53" s="70">
        <f>'Calculated Prices'!I111</f>
        <v>44.194550399999997</v>
      </c>
      <c r="E53" s="73"/>
      <c r="F53" s="73"/>
      <c r="G53" s="73"/>
      <c r="M53" s="73"/>
      <c r="N53" s="73"/>
      <c r="O53" s="73"/>
    </row>
    <row r="54" spans="2:18" x14ac:dyDescent="0.25">
      <c r="M54" s="73"/>
      <c r="N54" s="73"/>
      <c r="O54" s="73"/>
    </row>
    <row r="57" spans="2:18" x14ac:dyDescent="0.25">
      <c r="B57" s="92" t="s">
        <v>90</v>
      </c>
      <c r="C57" s="92"/>
      <c r="D57" s="92"/>
      <c r="E57" s="92"/>
      <c r="F57" s="92"/>
      <c r="G57" s="92"/>
      <c r="H57" s="92"/>
      <c r="I57" s="92"/>
      <c r="J57" s="92"/>
      <c r="K57" s="92"/>
      <c r="L57" s="92"/>
      <c r="M57" s="92"/>
    </row>
    <row r="58" spans="2:18" x14ac:dyDescent="0.25">
      <c r="B58" s="92" t="s">
        <v>91</v>
      </c>
      <c r="C58" s="92"/>
      <c r="D58" s="92"/>
      <c r="E58" s="92"/>
      <c r="F58" s="92"/>
      <c r="G58" s="92"/>
      <c r="H58" s="92"/>
      <c r="I58" s="92"/>
    </row>
    <row r="59" spans="2:18" x14ac:dyDescent="0.25">
      <c r="B59" s="66" t="s">
        <v>92</v>
      </c>
    </row>
  </sheetData>
  <mergeCells count="18">
    <mergeCell ref="B58:I58"/>
    <mergeCell ref="V13:V14"/>
    <mergeCell ref="W13:Z14"/>
    <mergeCell ref="I17:K17"/>
    <mergeCell ref="B27:D27"/>
    <mergeCell ref="I27:K27"/>
    <mergeCell ref="P33:Q33"/>
    <mergeCell ref="B36:D36"/>
    <mergeCell ref="I37:K37"/>
    <mergeCell ref="B45:D46"/>
    <mergeCell ref="I47:K47"/>
    <mergeCell ref="B57:M57"/>
    <mergeCell ref="W9:Z12"/>
    <mergeCell ref="C2:O4"/>
    <mergeCell ref="B7:D7"/>
    <mergeCell ref="I7:K7"/>
    <mergeCell ref="P7:R7"/>
    <mergeCell ref="V9:V10"/>
  </mergeCells>
  <pageMargins left="0.19685039370078741" right="0.19685039370078741" top="0" bottom="0" header="0" footer="0"/>
  <pageSetup paperSize="9" scale="49" orientation="landscape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D26"/>
  <sheetViews>
    <sheetView workbookViewId="0">
      <selection activeCell="C10" sqref="C10"/>
    </sheetView>
  </sheetViews>
  <sheetFormatPr defaultRowHeight="12" x14ac:dyDescent="0.2"/>
  <cols>
    <col min="1" max="1" width="96.1640625" customWidth="1"/>
    <col min="2" max="2" width="14.5" customWidth="1"/>
    <col min="3" max="3" width="99.83203125" bestFit="1" customWidth="1"/>
    <col min="4" max="4" width="9.1640625" bestFit="1" customWidth="1"/>
  </cols>
  <sheetData>
    <row r="1" spans="1:4" x14ac:dyDescent="0.2">
      <c r="A1" t="s">
        <v>126</v>
      </c>
    </row>
    <row r="2" spans="1:4" x14ac:dyDescent="0.2">
      <c r="A2" t="s">
        <v>127</v>
      </c>
      <c r="C2" t="s">
        <v>128</v>
      </c>
    </row>
    <row r="3" spans="1:4" x14ac:dyDescent="0.2">
      <c r="A3" t="s">
        <v>129</v>
      </c>
      <c r="B3" s="85">
        <v>1340.96</v>
      </c>
      <c r="C3" t="s">
        <v>135</v>
      </c>
      <c r="D3" s="85">
        <v>2303.2399999999998</v>
      </c>
    </row>
    <row r="4" spans="1:4" x14ac:dyDescent="0.2">
      <c r="A4" t="s">
        <v>130</v>
      </c>
      <c r="B4" s="85">
        <v>1340.96</v>
      </c>
      <c r="C4" t="s">
        <v>136</v>
      </c>
      <c r="D4" s="85">
        <v>2528.96</v>
      </c>
    </row>
    <row r="5" spans="1:4" x14ac:dyDescent="0.2">
      <c r="A5" t="s">
        <v>131</v>
      </c>
      <c r="B5" s="85">
        <v>1453.82</v>
      </c>
      <c r="C5" t="s">
        <v>137</v>
      </c>
      <c r="D5" s="85">
        <v>3148.2</v>
      </c>
    </row>
    <row r="6" spans="1:4" x14ac:dyDescent="0.2">
      <c r="A6" t="s">
        <v>132</v>
      </c>
      <c r="B6" s="85">
        <v>1808.73</v>
      </c>
      <c r="C6" t="s">
        <v>138</v>
      </c>
      <c r="D6" s="85">
        <v>3302.64</v>
      </c>
    </row>
    <row r="7" spans="1:4" x14ac:dyDescent="0.2">
      <c r="A7" t="s">
        <v>133</v>
      </c>
      <c r="B7" s="85">
        <v>1885.95</v>
      </c>
      <c r="C7" t="s">
        <v>139</v>
      </c>
      <c r="D7" s="85">
        <v>3670.92</v>
      </c>
    </row>
    <row r="8" spans="1:4" x14ac:dyDescent="0.2">
      <c r="A8" t="s">
        <v>134</v>
      </c>
      <c r="B8" s="85">
        <v>2070.09</v>
      </c>
    </row>
    <row r="9" spans="1:4" x14ac:dyDescent="0.2">
      <c r="A9" t="s">
        <v>140</v>
      </c>
      <c r="C9" t="s">
        <v>141</v>
      </c>
    </row>
    <row r="10" spans="1:4" x14ac:dyDescent="0.2">
      <c r="A10" t="s">
        <v>142</v>
      </c>
      <c r="B10" s="85">
        <v>1416.69</v>
      </c>
      <c r="C10" t="s">
        <v>147</v>
      </c>
      <c r="D10" s="85">
        <v>2454.71</v>
      </c>
    </row>
    <row r="11" spans="1:4" x14ac:dyDescent="0.2">
      <c r="A11" t="s">
        <v>143</v>
      </c>
      <c r="B11" s="85">
        <v>1606.77</v>
      </c>
      <c r="C11" t="s">
        <v>148</v>
      </c>
      <c r="D11" s="85">
        <v>2834.87</v>
      </c>
    </row>
    <row r="12" spans="1:4" x14ac:dyDescent="0.2">
      <c r="A12" t="s">
        <v>144</v>
      </c>
      <c r="B12" s="85">
        <v>1961.69</v>
      </c>
      <c r="C12" t="s">
        <v>149</v>
      </c>
      <c r="D12" s="85">
        <v>3454.11</v>
      </c>
    </row>
    <row r="13" spans="1:4" x14ac:dyDescent="0.2">
      <c r="A13" t="s">
        <v>145</v>
      </c>
      <c r="B13" s="85">
        <v>2116.13</v>
      </c>
      <c r="C13" t="s">
        <v>150</v>
      </c>
      <c r="D13" s="85">
        <v>3762.99</v>
      </c>
    </row>
    <row r="14" spans="1:4" x14ac:dyDescent="0.2">
      <c r="A14" t="s">
        <v>146</v>
      </c>
      <c r="B14" s="85">
        <v>2376</v>
      </c>
      <c r="C14" t="s">
        <v>151</v>
      </c>
      <c r="D14" s="85">
        <v>4282.74</v>
      </c>
    </row>
    <row r="15" spans="1:4" x14ac:dyDescent="0.2">
      <c r="A15" t="s">
        <v>152</v>
      </c>
      <c r="C15" t="s">
        <v>153</v>
      </c>
    </row>
    <row r="16" spans="1:4" x14ac:dyDescent="0.2">
      <c r="A16" t="s">
        <v>154</v>
      </c>
      <c r="B16" s="85">
        <v>1603.8</v>
      </c>
      <c r="C16" t="s">
        <v>159</v>
      </c>
      <c r="D16" s="85">
        <v>2828.93</v>
      </c>
    </row>
    <row r="17" spans="1:4" x14ac:dyDescent="0.2">
      <c r="A17" t="s">
        <v>155</v>
      </c>
      <c r="B17" s="85">
        <v>1885.95</v>
      </c>
      <c r="C17" t="s">
        <v>160</v>
      </c>
      <c r="D17" s="85">
        <v>3393.25</v>
      </c>
    </row>
    <row r="18" spans="1:4" x14ac:dyDescent="0.2">
      <c r="A18" t="s">
        <v>156</v>
      </c>
      <c r="B18" s="85">
        <v>2270.5700000000002</v>
      </c>
      <c r="C18" t="s">
        <v>161</v>
      </c>
      <c r="D18" s="85">
        <v>4073.36</v>
      </c>
    </row>
    <row r="19" spans="1:4" x14ac:dyDescent="0.2">
      <c r="A19" t="s">
        <v>157</v>
      </c>
      <c r="B19" s="85">
        <v>2276.5100000000002</v>
      </c>
      <c r="C19" t="s">
        <v>162</v>
      </c>
      <c r="D19" s="85">
        <v>4085.24</v>
      </c>
    </row>
    <row r="20" spans="1:4" x14ac:dyDescent="0.2">
      <c r="A20" t="s">
        <v>158</v>
      </c>
      <c r="B20" s="85">
        <v>2680.43</v>
      </c>
      <c r="C20" t="s">
        <v>163</v>
      </c>
      <c r="D20" s="85">
        <v>4893.08</v>
      </c>
    </row>
    <row r="21" spans="1:4" x14ac:dyDescent="0.2">
      <c r="A21" t="s">
        <v>164</v>
      </c>
      <c r="C21" t="s">
        <v>165</v>
      </c>
    </row>
    <row r="22" spans="1:4" x14ac:dyDescent="0.2">
      <c r="A22" t="s">
        <v>166</v>
      </c>
      <c r="B22" s="85">
        <v>1697.36</v>
      </c>
      <c r="C22" t="s">
        <v>159</v>
      </c>
      <c r="D22" s="85">
        <v>3016.04</v>
      </c>
    </row>
    <row r="23" spans="1:4" x14ac:dyDescent="0.2">
      <c r="A23" t="s">
        <v>167</v>
      </c>
      <c r="B23" s="85">
        <v>2049.3000000000002</v>
      </c>
      <c r="C23" t="s">
        <v>160</v>
      </c>
      <c r="D23" s="85">
        <v>3721.41</v>
      </c>
    </row>
    <row r="24" spans="1:4" x14ac:dyDescent="0.2">
      <c r="A24" t="s">
        <v>168</v>
      </c>
      <c r="B24" s="85">
        <v>2459.16</v>
      </c>
      <c r="C24" t="s">
        <v>161</v>
      </c>
      <c r="D24" s="85">
        <v>4449.0600000000004</v>
      </c>
    </row>
    <row r="25" spans="1:4" x14ac:dyDescent="0.2">
      <c r="A25" t="s">
        <v>169</v>
      </c>
      <c r="B25" s="85">
        <v>2466.59</v>
      </c>
      <c r="C25" t="s">
        <v>162</v>
      </c>
      <c r="D25" s="85">
        <v>4463.91</v>
      </c>
    </row>
    <row r="26" spans="1:4" x14ac:dyDescent="0.2">
      <c r="A26" t="s">
        <v>170</v>
      </c>
      <c r="B26" s="85">
        <v>2971.49</v>
      </c>
      <c r="C26" t="s">
        <v>163</v>
      </c>
      <c r="D26" s="85">
        <v>5473.71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2:I111"/>
  <sheetViews>
    <sheetView workbookViewId="0">
      <pane ySplit="5" topLeftCell="A6" activePane="bottomLeft" state="frozen"/>
      <selection pane="bottomLeft" activeCell="I8" sqref="I8"/>
    </sheetView>
  </sheetViews>
  <sheetFormatPr defaultColWidth="9.33203125" defaultRowHeight="15" x14ac:dyDescent="0.25"/>
  <cols>
    <col min="1" max="1" width="9.33203125" style="46"/>
    <col min="2" max="2" width="51.1640625" style="46" customWidth="1"/>
    <col min="3" max="3" width="15.6640625" style="46" bestFit="1" customWidth="1"/>
    <col min="4" max="4" width="17.5" style="46" customWidth="1"/>
    <col min="5" max="5" width="9.33203125" style="46"/>
    <col min="6" max="6" width="16.33203125" style="46" customWidth="1"/>
    <col min="7" max="7" width="15.6640625" style="46" bestFit="1" customWidth="1"/>
    <col min="8" max="8" width="9.33203125" style="46"/>
    <col min="9" max="9" width="16.1640625" style="84" customWidth="1"/>
    <col min="10" max="10" width="42.33203125" style="46" customWidth="1"/>
    <col min="11" max="16384" width="9.33203125" style="46"/>
  </cols>
  <sheetData>
    <row r="2" spans="2:9" x14ac:dyDescent="0.25">
      <c r="B2" s="46" t="s">
        <v>93</v>
      </c>
    </row>
    <row r="4" spans="2:9" x14ac:dyDescent="0.25">
      <c r="B4" s="95" t="s">
        <v>94</v>
      </c>
      <c r="D4" s="96" t="s">
        <v>95</v>
      </c>
      <c r="I4" s="97" t="s">
        <v>105</v>
      </c>
    </row>
    <row r="5" spans="2:9" x14ac:dyDescent="0.25">
      <c r="B5" s="95"/>
      <c r="D5" s="96"/>
      <c r="F5" s="60" t="s">
        <v>96</v>
      </c>
      <c r="G5" s="60" t="s">
        <v>97</v>
      </c>
      <c r="I5" s="97"/>
    </row>
    <row r="6" spans="2:9" x14ac:dyDescent="0.25">
      <c r="B6" s="66" t="s">
        <v>43</v>
      </c>
    </row>
    <row r="8" spans="2:9" x14ac:dyDescent="0.25">
      <c r="B8" s="46" t="s">
        <v>46</v>
      </c>
      <c r="C8" s="46" t="s">
        <v>47</v>
      </c>
      <c r="D8" s="46">
        <v>14.44</v>
      </c>
      <c r="I8" s="84">
        <f>D8*1.022*1.3*1.1</f>
        <v>21.103482400000001</v>
      </c>
    </row>
    <row r="9" spans="2:9" x14ac:dyDescent="0.25">
      <c r="B9" s="46" t="s">
        <v>46</v>
      </c>
      <c r="C9" s="46" t="s">
        <v>50</v>
      </c>
      <c r="D9" s="46">
        <f>F9+G9</f>
        <v>18.71</v>
      </c>
      <c r="F9" s="46">
        <v>6.36</v>
      </c>
      <c r="G9" s="46">
        <v>12.35</v>
      </c>
      <c r="I9" s="84">
        <f t="shared" ref="I9:I72" si="0">D9*1.022*1.3*1.1</f>
        <v>27.3439166</v>
      </c>
    </row>
    <row r="10" spans="2:9" x14ac:dyDescent="0.25">
      <c r="B10" s="46" t="s">
        <v>46</v>
      </c>
      <c r="C10" s="46" t="s">
        <v>52</v>
      </c>
      <c r="D10" s="46">
        <v>21.24</v>
      </c>
      <c r="I10" s="84">
        <f t="shared" si="0"/>
        <v>31.0414104</v>
      </c>
    </row>
    <row r="12" spans="2:9" x14ac:dyDescent="0.25">
      <c r="B12" s="46" t="s">
        <v>54</v>
      </c>
      <c r="C12" s="46" t="s">
        <v>47</v>
      </c>
      <c r="D12" s="46">
        <v>22.34</v>
      </c>
      <c r="I12" s="84">
        <f t="shared" si="0"/>
        <v>32.649016400000001</v>
      </c>
    </row>
    <row r="13" spans="2:9" x14ac:dyDescent="0.25">
      <c r="B13" s="46" t="s">
        <v>54</v>
      </c>
      <c r="C13" s="46" t="s">
        <v>50</v>
      </c>
      <c r="D13" s="46">
        <f>F13+G13</f>
        <v>28.630000000000003</v>
      </c>
      <c r="F13" s="46">
        <v>9.5299999999999994</v>
      </c>
      <c r="G13" s="46">
        <v>19.100000000000001</v>
      </c>
      <c r="I13" s="84">
        <f t="shared" si="0"/>
        <v>41.841599800000012</v>
      </c>
    </row>
    <row r="14" spans="2:9" x14ac:dyDescent="0.25">
      <c r="B14" s="46" t="s">
        <v>54</v>
      </c>
      <c r="C14" s="46" t="s">
        <v>52</v>
      </c>
      <c r="D14" s="46">
        <v>32.86</v>
      </c>
      <c r="I14" s="84">
        <f t="shared" si="0"/>
        <v>48.023575600000008</v>
      </c>
    </row>
    <row r="18" spans="2:9" x14ac:dyDescent="0.25">
      <c r="B18" s="46" t="s">
        <v>59</v>
      </c>
      <c r="C18" s="46" t="s">
        <v>47</v>
      </c>
      <c r="D18" s="46">
        <v>34.53</v>
      </c>
      <c r="I18" s="84">
        <f t="shared" si="0"/>
        <v>50.464213800000017</v>
      </c>
    </row>
    <row r="19" spans="2:9" x14ac:dyDescent="0.25">
      <c r="B19" s="46" t="s">
        <v>59</v>
      </c>
      <c r="C19" s="46" t="s">
        <v>50</v>
      </c>
      <c r="D19" s="46">
        <f>F19+G19</f>
        <v>43.18</v>
      </c>
      <c r="F19" s="46">
        <v>13.65</v>
      </c>
      <c r="G19" s="46">
        <v>29.53</v>
      </c>
      <c r="I19" s="84">
        <f t="shared" si="0"/>
        <v>63.105842800000019</v>
      </c>
    </row>
    <row r="20" spans="2:9" x14ac:dyDescent="0.25">
      <c r="B20" s="46" t="s">
        <v>59</v>
      </c>
      <c r="C20" s="46" t="s">
        <v>52</v>
      </c>
      <c r="D20" s="46">
        <v>50.8</v>
      </c>
      <c r="I20" s="84">
        <f t="shared" si="0"/>
        <v>74.242168000000007</v>
      </c>
    </row>
    <row r="23" spans="2:9" x14ac:dyDescent="0.25">
      <c r="B23" s="66" t="s">
        <v>61</v>
      </c>
    </row>
    <row r="25" spans="2:9" x14ac:dyDescent="0.25">
      <c r="B25" s="46" t="s">
        <v>66</v>
      </c>
      <c r="C25" s="46" t="s">
        <v>47</v>
      </c>
      <c r="D25" s="46">
        <v>30.09</v>
      </c>
      <c r="I25" s="84">
        <f t="shared" si="0"/>
        <v>43.975331400000009</v>
      </c>
    </row>
    <row r="26" spans="2:9" x14ac:dyDescent="0.25">
      <c r="B26" s="46" t="s">
        <v>66</v>
      </c>
      <c r="C26" s="46" t="s">
        <v>50</v>
      </c>
      <c r="D26" s="46">
        <f>F26+G26</f>
        <v>38.5</v>
      </c>
      <c r="F26" s="46">
        <v>12.77</v>
      </c>
      <c r="G26" s="46">
        <v>25.73</v>
      </c>
      <c r="I26" s="84">
        <f t="shared" si="0"/>
        <v>56.266210000000015</v>
      </c>
    </row>
    <row r="27" spans="2:9" x14ac:dyDescent="0.25">
      <c r="B27" s="46" t="s">
        <v>66</v>
      </c>
      <c r="C27" s="46" t="s">
        <v>52</v>
      </c>
      <c r="D27" s="46">
        <v>44.27</v>
      </c>
      <c r="I27" s="84">
        <f t="shared" si="0"/>
        <v>64.698834200000007</v>
      </c>
    </row>
    <row r="29" spans="2:9" x14ac:dyDescent="0.25">
      <c r="B29" s="66" t="s">
        <v>69</v>
      </c>
    </row>
    <row r="31" spans="2:9" x14ac:dyDescent="0.25">
      <c r="B31" s="46" t="s">
        <v>73</v>
      </c>
      <c r="C31" s="46" t="s">
        <v>47</v>
      </c>
      <c r="D31" s="46">
        <f>F31+G31</f>
        <v>30.520000000000003</v>
      </c>
      <c r="F31" s="46">
        <v>8.24</v>
      </c>
      <c r="G31" s="46">
        <v>22.28</v>
      </c>
      <c r="I31" s="84">
        <f t="shared" si="0"/>
        <v>44.603759200000006</v>
      </c>
    </row>
    <row r="32" spans="2:9" x14ac:dyDescent="0.25">
      <c r="B32" s="46" t="s">
        <v>73</v>
      </c>
      <c r="C32" s="46" t="s">
        <v>52</v>
      </c>
      <c r="D32" s="46">
        <v>38.33</v>
      </c>
      <c r="I32" s="84">
        <f t="shared" si="0"/>
        <v>56.017761800000002</v>
      </c>
    </row>
    <row r="33" spans="2:9" x14ac:dyDescent="0.25">
      <c r="B33" s="46" t="s">
        <v>76</v>
      </c>
      <c r="C33" s="46" t="s">
        <v>47</v>
      </c>
      <c r="D33" s="46">
        <f>F33+G33</f>
        <v>79.78</v>
      </c>
      <c r="F33" s="46">
        <v>17.649999999999999</v>
      </c>
      <c r="G33" s="46">
        <v>62.13</v>
      </c>
      <c r="I33" s="84">
        <f t="shared" si="0"/>
        <v>116.59527880000002</v>
      </c>
    </row>
    <row r="35" spans="2:9" x14ac:dyDescent="0.25">
      <c r="B35" s="66" t="s">
        <v>44</v>
      </c>
    </row>
    <row r="36" spans="2:9" x14ac:dyDescent="0.25">
      <c r="B36" s="66"/>
    </row>
    <row r="38" spans="2:9" x14ac:dyDescent="0.25">
      <c r="B38" s="46" t="s">
        <v>48</v>
      </c>
      <c r="C38" s="46" t="s">
        <v>47</v>
      </c>
      <c r="D38" s="46">
        <v>50.55</v>
      </c>
      <c r="I38" s="84">
        <f t="shared" si="0"/>
        <v>73.87680300000001</v>
      </c>
    </row>
    <row r="39" spans="2:9" x14ac:dyDescent="0.25">
      <c r="B39" s="46" t="s">
        <v>48</v>
      </c>
      <c r="C39" s="46" t="s">
        <v>50</v>
      </c>
      <c r="D39" s="46">
        <f>F39+G39</f>
        <v>54.070000000000007</v>
      </c>
      <c r="F39" s="46">
        <v>14.3</v>
      </c>
      <c r="G39" s="46">
        <v>39.770000000000003</v>
      </c>
      <c r="I39" s="84">
        <f t="shared" si="0"/>
        <v>79.021142200000014</v>
      </c>
    </row>
    <row r="40" spans="2:9" x14ac:dyDescent="0.25">
      <c r="B40" s="46" t="s">
        <v>48</v>
      </c>
      <c r="C40" s="46" t="s">
        <v>52</v>
      </c>
      <c r="D40" s="46">
        <v>68.41</v>
      </c>
      <c r="I40" s="84">
        <f t="shared" si="0"/>
        <v>99.978478600000017</v>
      </c>
    </row>
    <row r="43" spans="2:9" x14ac:dyDescent="0.25">
      <c r="B43" s="66" t="s">
        <v>55</v>
      </c>
    </row>
    <row r="45" spans="2:9" x14ac:dyDescent="0.25">
      <c r="B45" s="46" t="s">
        <v>48</v>
      </c>
      <c r="C45" s="46" t="s">
        <v>47</v>
      </c>
      <c r="D45" s="46">
        <f>F45+G45</f>
        <v>52.269999999999996</v>
      </c>
      <c r="F45" s="46">
        <v>14.3</v>
      </c>
      <c r="G45" s="46">
        <v>37.97</v>
      </c>
      <c r="I45" s="84">
        <f t="shared" si="0"/>
        <v>76.390514199999998</v>
      </c>
    </row>
    <row r="46" spans="2:9" x14ac:dyDescent="0.25">
      <c r="B46" s="46" t="s">
        <v>48</v>
      </c>
      <c r="C46" s="46" t="s">
        <v>50</v>
      </c>
      <c r="D46" s="46">
        <f>F46+G46</f>
        <v>52.269999999999996</v>
      </c>
      <c r="F46" s="46">
        <v>14.3</v>
      </c>
      <c r="G46" s="46">
        <v>37.97</v>
      </c>
      <c r="I46" s="84">
        <f t="shared" si="0"/>
        <v>76.390514199999998</v>
      </c>
    </row>
    <row r="49" spans="2:9" x14ac:dyDescent="0.25">
      <c r="B49" s="66" t="s">
        <v>62</v>
      </c>
    </row>
    <row r="51" spans="2:9" x14ac:dyDescent="0.25">
      <c r="B51" s="46" t="s">
        <v>48</v>
      </c>
      <c r="C51" s="46" t="s">
        <v>47</v>
      </c>
      <c r="D51" s="46">
        <v>56.91</v>
      </c>
      <c r="I51" s="84">
        <f t="shared" si="0"/>
        <v>83.171688599999996</v>
      </c>
    </row>
    <row r="52" spans="2:9" x14ac:dyDescent="0.25">
      <c r="B52" s="46" t="s">
        <v>48</v>
      </c>
      <c r="C52" s="46" t="s">
        <v>50</v>
      </c>
      <c r="D52" s="46">
        <f>F52+G52</f>
        <v>62.97</v>
      </c>
      <c r="F52" s="46">
        <v>14.3</v>
      </c>
      <c r="G52" s="46">
        <v>48.67</v>
      </c>
      <c r="I52" s="84">
        <f>D52*1.022*1.3*1.1</f>
        <v>92.028136200000006</v>
      </c>
    </row>
    <row r="53" spans="2:9" x14ac:dyDescent="0.25">
      <c r="B53" s="46" t="s">
        <v>48</v>
      </c>
      <c r="C53" s="46" t="s">
        <v>52</v>
      </c>
      <c r="D53" s="46">
        <v>83.72</v>
      </c>
      <c r="I53" s="84">
        <f t="shared" si="0"/>
        <v>122.35343120000002</v>
      </c>
    </row>
    <row r="55" spans="2:9" x14ac:dyDescent="0.25">
      <c r="B55" s="81" t="s">
        <v>71</v>
      </c>
    </row>
    <row r="57" spans="2:9" x14ac:dyDescent="0.25">
      <c r="B57" s="46" t="s">
        <v>77</v>
      </c>
      <c r="C57" s="46" t="s">
        <v>47</v>
      </c>
      <c r="D57" s="46">
        <v>15.03</v>
      </c>
      <c r="I57" s="84">
        <f t="shared" si="0"/>
        <v>21.965743800000002</v>
      </c>
    </row>
    <row r="58" spans="2:9" x14ac:dyDescent="0.25">
      <c r="B58" s="46" t="s">
        <v>77</v>
      </c>
      <c r="C58" s="46" t="s">
        <v>50</v>
      </c>
      <c r="D58" s="46">
        <f>F58+G58</f>
        <v>27.15</v>
      </c>
      <c r="F58" s="46">
        <v>14.3</v>
      </c>
      <c r="G58" s="46">
        <v>12.85</v>
      </c>
      <c r="I58" s="84">
        <f t="shared" si="0"/>
        <v>39.678638999999997</v>
      </c>
    </row>
    <row r="59" spans="2:9" x14ac:dyDescent="0.25">
      <c r="B59" s="46" t="s">
        <v>77</v>
      </c>
      <c r="C59" s="46" t="s">
        <v>52</v>
      </c>
      <c r="D59" s="46">
        <v>22.11</v>
      </c>
      <c r="I59" s="84">
        <f t="shared" si="0"/>
        <v>32.3128806</v>
      </c>
    </row>
    <row r="61" spans="2:9" x14ac:dyDescent="0.25">
      <c r="B61" s="66" t="s">
        <v>82</v>
      </c>
    </row>
    <row r="63" spans="2:9" x14ac:dyDescent="0.25">
      <c r="B63" s="46" t="s">
        <v>77</v>
      </c>
      <c r="C63" s="46" t="s">
        <v>47</v>
      </c>
      <c r="D63" s="46">
        <v>9.4600000000000009</v>
      </c>
      <c r="I63" s="84">
        <f t="shared" si="0"/>
        <v>13.825411600000004</v>
      </c>
    </row>
    <row r="64" spans="2:9" x14ac:dyDescent="0.25">
      <c r="B64" s="46" t="s">
        <v>77</v>
      </c>
      <c r="C64" s="46" t="s">
        <v>50</v>
      </c>
      <c r="D64" s="46">
        <f>F64+G64</f>
        <v>22.39</v>
      </c>
      <c r="F64" s="46">
        <v>14.3</v>
      </c>
      <c r="G64" s="46">
        <v>8.09</v>
      </c>
      <c r="I64" s="84">
        <f t="shared" si="0"/>
        <v>32.722089400000002</v>
      </c>
    </row>
    <row r="65" spans="2:9" x14ac:dyDescent="0.25">
      <c r="B65" s="46" t="s">
        <v>77</v>
      </c>
      <c r="C65" s="46" t="s">
        <v>52</v>
      </c>
      <c r="D65" s="46">
        <v>13.92</v>
      </c>
      <c r="I65" s="84">
        <f t="shared" si="0"/>
        <v>20.343523200000003</v>
      </c>
    </row>
    <row r="67" spans="2:9" x14ac:dyDescent="0.25">
      <c r="B67" s="66" t="s">
        <v>45</v>
      </c>
    </row>
    <row r="70" spans="2:9" x14ac:dyDescent="0.25">
      <c r="B70" s="46" t="s">
        <v>98</v>
      </c>
      <c r="C70" s="46" t="s">
        <v>47</v>
      </c>
      <c r="D70" s="46">
        <v>24.94</v>
      </c>
      <c r="I70" s="84">
        <f t="shared" si="0"/>
        <v>36.448812400000008</v>
      </c>
    </row>
    <row r="71" spans="2:9" x14ac:dyDescent="0.25">
      <c r="B71" s="46" t="s">
        <v>98</v>
      </c>
      <c r="C71" s="46" t="s">
        <v>50</v>
      </c>
      <c r="D71" s="46">
        <f>F71+G71</f>
        <v>35.620000000000005</v>
      </c>
      <c r="F71" s="46">
        <v>14.3</v>
      </c>
      <c r="G71" s="46">
        <v>21.32</v>
      </c>
      <c r="I71" s="84">
        <f t="shared" si="0"/>
        <v>52.057205200000006</v>
      </c>
    </row>
    <row r="72" spans="2:9" x14ac:dyDescent="0.25">
      <c r="B72" s="46" t="s">
        <v>98</v>
      </c>
      <c r="C72" s="46" t="s">
        <v>52</v>
      </c>
      <c r="D72" s="46">
        <v>36.68</v>
      </c>
      <c r="I72" s="84">
        <f t="shared" si="0"/>
        <v>53.60635280000001</v>
      </c>
    </row>
    <row r="74" spans="2:9" x14ac:dyDescent="0.25">
      <c r="B74" s="66" t="s">
        <v>56</v>
      </c>
    </row>
    <row r="76" spans="2:9" x14ac:dyDescent="0.25">
      <c r="B76" s="46" t="s">
        <v>57</v>
      </c>
      <c r="D76" s="46">
        <v>0.9</v>
      </c>
      <c r="I76" s="84">
        <v>4.05</v>
      </c>
    </row>
    <row r="77" spans="2:9" x14ac:dyDescent="0.25">
      <c r="B77" s="46" t="s">
        <v>58</v>
      </c>
      <c r="D77" s="46">
        <v>1</v>
      </c>
      <c r="I77" s="84">
        <v>4.5</v>
      </c>
    </row>
    <row r="78" spans="2:9" x14ac:dyDescent="0.25">
      <c r="B78" s="46" t="s">
        <v>60</v>
      </c>
      <c r="D78" s="46">
        <v>0.6</v>
      </c>
      <c r="I78" s="84">
        <v>2.7</v>
      </c>
    </row>
    <row r="80" spans="2:9" x14ac:dyDescent="0.25">
      <c r="B80" s="46" t="s">
        <v>63</v>
      </c>
      <c r="D80" s="46">
        <v>0.6</v>
      </c>
      <c r="I80" s="84">
        <v>2.7</v>
      </c>
    </row>
    <row r="81" spans="2:9" x14ac:dyDescent="0.25">
      <c r="B81" s="46" t="s">
        <v>64</v>
      </c>
      <c r="D81" s="46">
        <v>0.8</v>
      </c>
      <c r="I81" s="84">
        <v>3.6</v>
      </c>
    </row>
    <row r="82" spans="2:9" x14ac:dyDescent="0.25">
      <c r="B82" s="46" t="s">
        <v>65</v>
      </c>
      <c r="D82" s="46">
        <v>0.9</v>
      </c>
      <c r="I82" s="84">
        <v>4.05</v>
      </c>
    </row>
    <row r="84" spans="2:9" x14ac:dyDescent="0.25">
      <c r="B84" s="66" t="s">
        <v>67</v>
      </c>
    </row>
    <row r="86" spans="2:9" x14ac:dyDescent="0.25">
      <c r="B86" s="46" t="s">
        <v>68</v>
      </c>
      <c r="D86" s="46">
        <f>F86+G86</f>
        <v>5.9</v>
      </c>
      <c r="F86" s="46">
        <v>5</v>
      </c>
      <c r="G86" s="46">
        <v>0.9</v>
      </c>
      <c r="I86" s="84">
        <f t="shared" ref="I86:I88" si="1">D86*1.022*1.3*1.1</f>
        <v>8.6226140000000022</v>
      </c>
    </row>
    <row r="87" spans="2:9" x14ac:dyDescent="0.25">
      <c r="B87" s="46" t="s">
        <v>70</v>
      </c>
      <c r="D87" s="46">
        <f>F87+G87</f>
        <v>6</v>
      </c>
      <c r="F87" s="46">
        <v>5</v>
      </c>
      <c r="G87" s="46">
        <v>1</v>
      </c>
      <c r="I87" s="84">
        <f t="shared" si="1"/>
        <v>8.7687600000000003</v>
      </c>
    </row>
    <row r="88" spans="2:9" x14ac:dyDescent="0.25">
      <c r="B88" s="46" t="s">
        <v>72</v>
      </c>
      <c r="D88" s="46">
        <f>F88+G88</f>
        <v>6.2</v>
      </c>
      <c r="F88" s="46">
        <v>5</v>
      </c>
      <c r="G88" s="46">
        <v>1.2</v>
      </c>
      <c r="I88" s="84">
        <f t="shared" si="1"/>
        <v>9.0610520000000019</v>
      </c>
    </row>
    <row r="90" spans="2:9" x14ac:dyDescent="0.25">
      <c r="B90" s="46" t="s">
        <v>74</v>
      </c>
      <c r="D90" s="46">
        <v>2.2000000000000002</v>
      </c>
      <c r="I90" s="84">
        <v>6.18</v>
      </c>
    </row>
    <row r="91" spans="2:9" x14ac:dyDescent="0.25">
      <c r="B91" s="46" t="s">
        <v>75</v>
      </c>
      <c r="D91" s="46">
        <v>2</v>
      </c>
      <c r="I91" s="84">
        <v>5.62</v>
      </c>
    </row>
    <row r="93" spans="2:9" x14ac:dyDescent="0.25">
      <c r="B93" s="66" t="s">
        <v>78</v>
      </c>
    </row>
    <row r="95" spans="2:9" x14ac:dyDescent="0.25">
      <c r="B95" s="46" t="s">
        <v>99</v>
      </c>
      <c r="I95" s="84">
        <v>500</v>
      </c>
    </row>
    <row r="96" spans="2:9" x14ac:dyDescent="0.25">
      <c r="B96" s="46" t="s">
        <v>100</v>
      </c>
      <c r="I96" s="84">
        <v>575</v>
      </c>
    </row>
    <row r="97" spans="2:9" ht="30.95" customHeight="1" x14ac:dyDescent="0.25">
      <c r="B97" s="82" t="s">
        <v>101</v>
      </c>
      <c r="I97" s="84">
        <v>600</v>
      </c>
    </row>
    <row r="98" spans="2:9" ht="30.95" customHeight="1" x14ac:dyDescent="0.25">
      <c r="B98" s="82" t="s">
        <v>102</v>
      </c>
      <c r="I98" s="84">
        <v>675</v>
      </c>
    </row>
    <row r="99" spans="2:9" x14ac:dyDescent="0.25">
      <c r="B99" s="46" t="s">
        <v>103</v>
      </c>
      <c r="I99" s="84">
        <v>100</v>
      </c>
    </row>
    <row r="100" spans="2:9" x14ac:dyDescent="0.25">
      <c r="B100" s="46" t="s">
        <v>88</v>
      </c>
      <c r="I100" s="84">
        <v>20</v>
      </c>
    </row>
    <row r="101" spans="2:9" x14ac:dyDescent="0.25">
      <c r="B101" s="46" t="s">
        <v>89</v>
      </c>
      <c r="I101" s="84">
        <v>40</v>
      </c>
    </row>
    <row r="103" spans="2:9" ht="17.45" customHeight="1" x14ac:dyDescent="0.35">
      <c r="B103" s="66" t="s">
        <v>79</v>
      </c>
      <c r="C103" s="83"/>
      <c r="D103" s="83"/>
    </row>
    <row r="105" spans="2:9" x14ac:dyDescent="0.25">
      <c r="B105" s="46" t="s">
        <v>104</v>
      </c>
      <c r="C105" s="46" t="s">
        <v>47</v>
      </c>
      <c r="D105" s="46">
        <f>F105+G105</f>
        <v>19.130000000000003</v>
      </c>
      <c r="F105" s="46">
        <v>8.8000000000000007</v>
      </c>
      <c r="G105" s="46">
        <v>10.33</v>
      </c>
      <c r="I105" s="84">
        <f t="shared" ref="I105:I106" si="2">D105*1.022*1.3*1.1</f>
        <v>27.957729800000006</v>
      </c>
    </row>
    <row r="106" spans="2:9" x14ac:dyDescent="0.25">
      <c r="B106" s="46" t="s">
        <v>104</v>
      </c>
      <c r="C106" s="46" t="s">
        <v>50</v>
      </c>
      <c r="D106" s="46">
        <f>F106+G106</f>
        <v>19.130000000000003</v>
      </c>
      <c r="F106" s="46">
        <v>8.8000000000000007</v>
      </c>
      <c r="G106" s="46">
        <v>10.33</v>
      </c>
      <c r="I106" s="84">
        <f t="shared" si="2"/>
        <v>27.957729800000006</v>
      </c>
    </row>
    <row r="107" spans="2:9" x14ac:dyDescent="0.25">
      <c r="B107" s="46" t="s">
        <v>104</v>
      </c>
      <c r="C107" s="46" t="s">
        <v>52</v>
      </c>
      <c r="D107" s="46">
        <v>12.03</v>
      </c>
      <c r="I107" s="84">
        <f>D107*1.022*1.3*1.1</f>
        <v>17.581363800000002</v>
      </c>
    </row>
    <row r="109" spans="2:9" x14ac:dyDescent="0.25">
      <c r="B109" s="46" t="s">
        <v>87</v>
      </c>
      <c r="C109" s="46" t="s">
        <v>47</v>
      </c>
      <c r="D109" s="46">
        <f>F109+G109</f>
        <v>34.78</v>
      </c>
      <c r="F109" s="46">
        <v>8.8000000000000007</v>
      </c>
      <c r="G109" s="46">
        <v>25.98</v>
      </c>
      <c r="I109" s="84">
        <f t="shared" ref="I109:I111" si="3">D109*1.022*1.3*1.1</f>
        <v>50.829578800000014</v>
      </c>
    </row>
    <row r="110" spans="2:9" x14ac:dyDescent="0.25">
      <c r="B110" s="46" t="s">
        <v>87</v>
      </c>
      <c r="C110" s="46" t="s">
        <v>50</v>
      </c>
      <c r="D110" s="46">
        <f>F110+G110</f>
        <v>34.78</v>
      </c>
      <c r="F110" s="46">
        <v>8.8000000000000007</v>
      </c>
      <c r="G110" s="46">
        <v>25.98</v>
      </c>
      <c r="I110" s="84">
        <f t="shared" si="3"/>
        <v>50.829578800000014</v>
      </c>
    </row>
    <row r="111" spans="2:9" x14ac:dyDescent="0.25">
      <c r="B111" s="46" t="s">
        <v>87</v>
      </c>
      <c r="C111" s="46" t="s">
        <v>52</v>
      </c>
      <c r="D111" s="46">
        <v>30.24</v>
      </c>
      <c r="I111" s="84">
        <f t="shared" si="3"/>
        <v>44.194550399999997</v>
      </c>
    </row>
  </sheetData>
  <mergeCells count="3">
    <mergeCell ref="B4:B5"/>
    <mergeCell ref="D4:D5"/>
    <mergeCell ref="I4:I5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13</vt:i4>
      </vt:variant>
    </vt:vector>
  </HeadingPairs>
  <TitlesOfParts>
    <vt:vector size="19" baseType="lpstr">
      <vt:lpstr>Bay Sizes</vt:lpstr>
      <vt:lpstr>Channel &amp; Cover Cuts</vt:lpstr>
      <vt:lpstr>Slat Cuts</vt:lpstr>
      <vt:lpstr>Pricelist</vt:lpstr>
      <vt:lpstr>Sheet1</vt:lpstr>
      <vt:lpstr>Calculated Prices</vt:lpstr>
      <vt:lpstr>'Channel &amp; Cover Cuts'!Me</vt:lpstr>
      <vt:lpstr>'Slat Cuts'!Me</vt:lpstr>
      <vt:lpstr>'Channel &amp; Cover Cuts'!Print_Area</vt:lpstr>
      <vt:lpstr>Pricelist!Print_Area</vt:lpstr>
      <vt:lpstr>'Slat Cuts'!Print_Area</vt:lpstr>
      <vt:lpstr>'Channel &amp; Cover Cuts'!Print_Titles</vt:lpstr>
      <vt:lpstr>'Slat Cuts'!Print_Titles</vt:lpstr>
      <vt:lpstr>'Channel &amp; Cover Cuts'!ptrKerf</vt:lpstr>
      <vt:lpstr>'Slat Cuts'!ptrKerf</vt:lpstr>
      <vt:lpstr>'Channel &amp; Cover Cuts'!ptrStk</vt:lpstr>
      <vt:lpstr>'Slat Cuts'!ptrStk</vt:lpstr>
      <vt:lpstr>'Channel &amp; Cover Cuts'!ptrUsed</vt:lpstr>
      <vt:lpstr>'Slat Cuts'!ptrUsed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shg</dc:creator>
  <cp:lastModifiedBy>Windows User</cp:lastModifiedBy>
  <cp:lastPrinted>2023-01-04T06:21:29Z</cp:lastPrinted>
  <dcterms:created xsi:type="dcterms:W3CDTF">2005-11-16T00:23:18Z</dcterms:created>
  <dcterms:modified xsi:type="dcterms:W3CDTF">2023-03-03T13:58:36Z</dcterms:modified>
</cp:coreProperties>
</file>